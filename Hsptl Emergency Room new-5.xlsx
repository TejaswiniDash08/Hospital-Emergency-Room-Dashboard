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soumya\Downloads\New folder\New folder\"/>
    </mc:Choice>
  </mc:AlternateContent>
  <xr:revisionPtr revIDLastSave="0" documentId="13_ncr:1_{17087D82-A288-492B-BD2E-8EC804365859}" xr6:coauthVersionLast="47" xr6:coauthVersionMax="47" xr10:uidLastSave="{00000000-0000-0000-0000-000000000000}"/>
  <bookViews>
    <workbookView xWindow="-108" yWindow="-108" windowWidth="23256" windowHeight="12456" tabRatio="760" activeTab="1" xr2:uid="{C5043F5D-2442-499C-A14E-8C6EAA12B1A0}"/>
  </bookViews>
  <sheets>
    <sheet name="Pivot Report" sheetId="1" r:id="rId1"/>
    <sheet name="Dashboard" sheetId="10" r:id="rId2"/>
    <sheet name="Satisfaction score daily" sheetId="8" r:id="rId3"/>
    <sheet name="AVG Waiting time daily trend" sheetId="7" r:id="rId4"/>
    <sheet name="Daily ER no-of Patient" sheetId="6" r:id="rId5"/>
  </sheets>
  <definedNames>
    <definedName name="Slicer_Date__Month">#N/A</definedName>
    <definedName name="Slicer_Date__Year">#N/A</definedName>
  </definedNames>
  <calcPr calcId="191029"/>
  <pivotCaches>
    <pivotCache cacheId="59" r:id="rId6"/>
    <pivotCache cacheId="62" r:id="rId7"/>
    <pivotCache cacheId="65" r:id="rId8"/>
    <pivotCache cacheId="68" r:id="rId9"/>
    <pivotCache cacheId="71" r:id="rId10"/>
    <pivotCache cacheId="74" r:id="rId11"/>
    <pivotCache cacheId="77" r:id="rId12"/>
    <pivotCache cacheId="80" r:id="rId13"/>
    <pivotCache cacheId="83" r:id="rId14"/>
    <pivotCache cacheId="86" r:id="rId15"/>
    <pivotCache cacheId="89" r:id="rId16"/>
    <pivotCache cacheId="92" r:id="rId17"/>
    <pivotCache cacheId="95" r:id="rId18"/>
    <pivotCache cacheId="98"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54a7335-b771-4c45-b4de-cf71a15edf63" name="Hospital Emergency Room Data" connection="Query - Hospital Emergency Room Data"/>
          <x15:modelTable id="Calender Table_e99ddd25-c891-477e-abee-a95d57bde223"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6" i="1" l="1"/>
  <c r="A45" i="1"/>
  <c r="C46" i="1"/>
  <c r="C45" i="1"/>
  <c r="B46" i="1"/>
  <c r="B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E53162-3A43-4AF0-930E-49C0FD6F49EA}" name="Query - Calender Table" description="Connection to the 'Calender Table' query in the workbook." type="100" refreshedVersion="8" minRefreshableVersion="5">
    <extLst>
      <ext xmlns:x15="http://schemas.microsoft.com/office/spreadsheetml/2010/11/main" uri="{DE250136-89BD-433C-8126-D09CA5730AF9}">
        <x15:connection id="ba2727c2-e31b-432a-8716-4b2d46e5220f"/>
      </ext>
    </extLst>
  </connection>
  <connection id="2" xr16:uid="{08C5A615-FC2C-4072-AF43-65EED10D9FA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1b38d7e-b9e8-45e7-9b23-2b477dce8530"/>
      </ext>
    </extLst>
  </connection>
  <connection id="3" xr16:uid="{138BF094-B48B-413F-A7D2-D0F8C7A7D5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<sst xmlns="http://schemas.openxmlformats.org/spreadsheetml/2006/main" count="197" uniqueCount="80">
  <si>
    <t>Distinct Count of Patient Id</t>
  </si>
  <si>
    <t>No-Of Patients</t>
  </si>
  <si>
    <t>Average of Patient Waittime</t>
  </si>
  <si>
    <t>Average of Patient Satisfaction Score</t>
  </si>
  <si>
    <t>Grand Total</t>
  </si>
  <si>
    <t>Row Labels</t>
  </si>
  <si>
    <t>Avg wait time</t>
  </si>
  <si>
    <t>Satisfaction score</t>
  </si>
  <si>
    <t>Count of Patient Admission Flag</t>
  </si>
  <si>
    <t>Admitted</t>
  </si>
  <si>
    <t>Not Admitted</t>
  </si>
  <si>
    <t>Count of Patient Admission Flag2</t>
  </si>
  <si>
    <t>Admission Status</t>
  </si>
  <si>
    <t>% status</t>
  </si>
  <si>
    <t>Patient</t>
  </si>
  <si>
    <t>0-9</t>
  </si>
  <si>
    <t>10-19</t>
  </si>
  <si>
    <t>20-29</t>
  </si>
  <si>
    <t>30-39</t>
  </si>
  <si>
    <t>40-49</t>
  </si>
  <si>
    <t>50-59</t>
  </si>
  <si>
    <t>60-69</t>
  </si>
  <si>
    <t>70-79</t>
  </si>
  <si>
    <t>Count of Age Group</t>
  </si>
  <si>
    <t>count by age gr</t>
  </si>
  <si>
    <t>Delay</t>
  </si>
  <si>
    <t>On-Time</t>
  </si>
  <si>
    <t>Count of Patient Attend Status</t>
  </si>
  <si>
    <t>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</si>
  <si>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</si>
  <si>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</si>
  <si>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</si>
  <si>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</si>
  <si>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</si>
  <si>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</si>
  <si>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</si>
  <si>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</si>
  <si>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</si>
  <si>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</si>
  <si>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</si>
  <si>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</si>
  <si>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</si>
  <si>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patient by department referral</t>
  </si>
  <si>
    <t>slicer for year</t>
  </si>
  <si>
    <t>Count of Patient Id</t>
  </si>
  <si>
    <t>no-of patients</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</si>
  <si>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</si>
  <si>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</si>
  <si>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</si>
  <si>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</si>
  <si>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</si>
  <si>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</si>
  <si>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</si>
  <si>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</si>
  <si>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</si>
  <si>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</si>
  <si>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</si>
  <si>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</si>
  <si>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</si>
  <si>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</si>
  <si>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</si>
  <si>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</si>
  <si>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</si>
  <si>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</si>
  <si>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</si>
  <si>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</si>
  <si>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</si>
  <si>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</si>
  <si>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</si>
  <si>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</si>
  <si>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</si>
  <si>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</si>
  <si>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</si>
  <si>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</si>
  <si>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</si>
  <si>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</si>
  <si>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</si>
  <si>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</si>
  <si>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Qtr1</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</si>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</sst>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2" tint="-0.249977111117893"/>
        <bgColor indexed="64"/>
      </patternFill>
    </fill>
    <fill>
      <patternFill patternType="solid">
        <fgColor theme="1"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2"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3" borderId="0" xfId="0" applyFill="1" applyAlignment="1">
      <alignment horizontal="center"/>
    </xf>
    <xf numFmtId="0" fontId="0" fillId="4" borderId="0" xfId="0" applyFill="1" applyAlignment="1">
      <alignment horizontal="center"/>
    </xf>
    <xf numFmtId="10" fontId="0" fillId="4" borderId="0" xfId="0" applyNumberFormat="1" applyFill="1" applyAlignment="1">
      <alignment horizontal="center"/>
    </xf>
    <xf numFmtId="1" fontId="0" fillId="4" borderId="0" xfId="0" applyNumberFormat="1" applyFill="1" applyAlignment="1">
      <alignment horizontal="center"/>
    </xf>
    <xf numFmtId="0" fontId="0" fillId="5" borderId="0" xfId="0" applyFill="1"/>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47">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font>
        <b/>
        <color theme="1"/>
      </font>
      <border>
        <bottom style="thin">
          <color theme="8"/>
        </bottom>
        <vertical/>
        <horizontal/>
      </border>
    </dxf>
    <dxf>
      <font>
        <sz val="9"/>
        <color theme="1" tint="4.9989318521683403E-2"/>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DCD5CE7A-04AB-43AE-9459-61B3E11ED782}">
      <tableStyleElement type="wholeTable" dxfId="46"/>
      <tableStyleElement type="headerRow" dxfId="4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Report!PivotTable7</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2"/>
      </c:pivotFmt>
      <c:pivotFmt>
        <c:idx val="3"/>
      </c:pivotFmt>
    </c:pivotFmts>
    <c:plotArea>
      <c:layout>
        <c:manualLayout>
          <c:layoutTarget val="inner"/>
          <c:xMode val="edge"/>
          <c:yMode val="edge"/>
          <c:x val="0.17853146983403598"/>
          <c:y val="0.14229184569765191"/>
          <c:w val="0.75177252843394571"/>
          <c:h val="0.8416746864975212"/>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cat>
            <c:strRef>
              <c:f>'Pivot Report'!$A$39:$A$41</c:f>
              <c:strCache>
                <c:ptCount val="2"/>
                <c:pt idx="0">
                  <c:v>Admitted</c:v>
                </c:pt>
                <c:pt idx="1">
                  <c:v>Not Admitted</c:v>
                </c:pt>
              </c:strCache>
            </c:strRef>
          </c:cat>
          <c:val>
            <c:numRef>
              <c:f>'Pivot Report'!$B$39:$B$41</c:f>
              <c:numCache>
                <c:formatCode>0.00%</c:formatCode>
                <c:ptCount val="2"/>
                <c:pt idx="0">
                  <c:v>0.5</c:v>
                </c:pt>
                <c:pt idx="1">
                  <c:v>0.5</c:v>
                </c:pt>
              </c:numCache>
            </c:numRef>
          </c:val>
          <c:extLst>
            <c:ext xmlns:c16="http://schemas.microsoft.com/office/drawing/2014/chart" uri="{C3380CC4-5D6E-409C-BE32-E72D297353CC}">
              <c16:uniqueId val="{00000000-DD99-4EA4-956D-69FB793EE875}"/>
            </c:ext>
          </c:extLst>
        </c:ser>
        <c:ser>
          <c:idx val="1"/>
          <c:order val="1"/>
          <c:tx>
            <c:strRef>
              <c:f>'Pivot Report'!$C$38</c:f>
              <c:strCache>
                <c:ptCount val="1"/>
                <c:pt idx="0">
                  <c:v>Count of Patient Admission Flag2</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Report'!$A$39:$A$41</c:f>
              <c:strCache>
                <c:ptCount val="2"/>
                <c:pt idx="0">
                  <c:v>Admitted</c:v>
                </c:pt>
                <c:pt idx="1">
                  <c:v>Not Admitted</c:v>
                </c:pt>
              </c:strCache>
            </c:strRef>
          </c:cat>
          <c:val>
            <c:numRef>
              <c:f>'Pivot Report'!$C$39:$C$41</c:f>
              <c:numCache>
                <c:formatCode>0</c:formatCode>
                <c:ptCount val="2"/>
                <c:pt idx="0">
                  <c:v>253</c:v>
                </c:pt>
                <c:pt idx="1">
                  <c:v>253</c:v>
                </c:pt>
              </c:numCache>
            </c:numRef>
          </c:val>
          <c:extLst>
            <c:ext xmlns:c16="http://schemas.microsoft.com/office/drawing/2014/chart" uri="{C3380CC4-5D6E-409C-BE32-E72D297353CC}">
              <c16:uniqueId val="{00000001-DD99-4EA4-956D-69FB793EE875}"/>
            </c:ext>
          </c:extLst>
        </c:ser>
        <c:dLbls>
          <c:showLegendKey val="0"/>
          <c:showVal val="0"/>
          <c:showCatName val="0"/>
          <c:showSerName val="0"/>
          <c:showPercent val="0"/>
          <c:showBubbleSize val="0"/>
        </c:dLbls>
        <c:gapWidth val="0"/>
        <c:axId val="600536240"/>
        <c:axId val="2057678752"/>
      </c:barChart>
      <c:catAx>
        <c:axId val="600536240"/>
        <c:scaling>
          <c:orientation val="minMax"/>
        </c:scaling>
        <c:delete val="1"/>
        <c:axPos val="l"/>
        <c:numFmt formatCode="General" sourceLinked="1"/>
        <c:majorTickMark val="none"/>
        <c:minorTickMark val="none"/>
        <c:tickLblPos val="nextTo"/>
        <c:crossAx val="2057678752"/>
        <c:crosses val="autoZero"/>
        <c:auto val="1"/>
        <c:lblAlgn val="ctr"/>
        <c:lblOffset val="100"/>
        <c:noMultiLvlLbl val="0"/>
      </c:catAx>
      <c:valAx>
        <c:axId val="2057678752"/>
        <c:scaling>
          <c:orientation val="minMax"/>
        </c:scaling>
        <c:delete val="1"/>
        <c:axPos val="b"/>
        <c:numFmt formatCode="0.00%" sourceLinked="1"/>
        <c:majorTickMark val="none"/>
        <c:minorTickMark val="none"/>
        <c:tickLblPos val="nextTo"/>
        <c:crossAx val="60053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FC5A-4AEC-8915-5A2BB15F0972}"/>
            </c:ext>
          </c:extLst>
        </c:ser>
        <c:dLbls>
          <c:showLegendKey val="0"/>
          <c:showVal val="0"/>
          <c:showCatName val="0"/>
          <c:showSerName val="0"/>
          <c:showPercent val="0"/>
          <c:showBubbleSize val="0"/>
        </c:dLbls>
        <c:gapWidth val="219"/>
        <c:overlap val="-27"/>
        <c:axId val="1662569296"/>
        <c:axId val="1662575536"/>
      </c:barChart>
      <c:catAx>
        <c:axId val="166256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575536"/>
        <c:crosses val="autoZero"/>
        <c:auto val="1"/>
        <c:lblAlgn val="ctr"/>
        <c:lblOffset val="100"/>
        <c:noMultiLvlLbl val="0"/>
      </c:catAx>
      <c:valAx>
        <c:axId val="1662575536"/>
        <c:scaling>
          <c:orientation val="minMax"/>
        </c:scaling>
        <c:delete val="1"/>
        <c:axPos val="l"/>
        <c:numFmt formatCode="0" sourceLinked="1"/>
        <c:majorTickMark val="none"/>
        <c:minorTickMark val="none"/>
        <c:tickLblPos val="nextTo"/>
        <c:crossAx val="166256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Report!PivotTable9</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419679542674966"/>
          <c:y val="0.21287032312610768"/>
          <c:w val="0.50053077462175877"/>
          <c:h val="0.71825986645073991"/>
        </c:manualLayout>
      </c:layout>
      <c:doughnutChart>
        <c:varyColors val="1"/>
        <c:ser>
          <c:idx val="0"/>
          <c:order val="0"/>
          <c:tx>
            <c:strRef>
              <c:f>'Pivot Report'!$B$70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EC-4DDA-B846-8624992CF6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EC-4DDA-B846-8624992CF6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c:formatCode>
                <c:ptCount val="2"/>
                <c:pt idx="0">
                  <c:v>231</c:v>
                </c:pt>
                <c:pt idx="1">
                  <c:v>275</c:v>
                </c:pt>
              </c:numCache>
            </c:numRef>
          </c:val>
          <c:extLst>
            <c:ext xmlns:c16="http://schemas.microsoft.com/office/drawing/2014/chart" uri="{C3380CC4-5D6E-409C-BE32-E72D297353CC}">
              <c16:uniqueId val="{00000004-A99C-488D-8668-EB65DE2BC6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5.4043162798367489E-2"/>
          <c:y val="1.436209153226701E-2"/>
          <c:w val="0.18563095189017603"/>
          <c:h val="0.211306579112777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 Report'!$B$63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29DB-447B-BE00-E0CB3E673350}"/>
              </c:ext>
            </c:extLst>
          </c:dPt>
          <c:dPt>
            <c:idx val="1"/>
            <c:bubble3D val="0"/>
            <c:spPr>
              <a:solidFill>
                <a:schemeClr val="accent2"/>
              </a:solidFill>
              <a:ln>
                <a:noFill/>
              </a:ln>
              <a:effectLst/>
            </c:spPr>
            <c:extLst>
              <c:ext xmlns:c16="http://schemas.microsoft.com/office/drawing/2014/chart" uri="{C3380CC4-5D6E-409C-BE32-E72D297353CC}">
                <c16:uniqueId val="{00000003-29DB-447B-BE00-E0CB3E6733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312</c:v>
                </c:pt>
                <c:pt idx="1">
                  <c:v>194</c:v>
                </c:pt>
              </c:numCache>
            </c:numRef>
          </c:val>
          <c:extLst>
            <c:ext xmlns:c16="http://schemas.microsoft.com/office/drawing/2014/chart" uri="{C3380CC4-5D6E-409C-BE32-E72D297353CC}">
              <c16:uniqueId val="{00000004-CF63-4DC0-A7BB-1B270A8838C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3492362127300453E-2"/>
          <c:y val="1.5016937761672651E-3"/>
          <c:w val="0.21033534372033283"/>
          <c:h val="0.1802897233999596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92370350257943"/>
          <c:y val="7.8014184397163122E-2"/>
          <c:w val="0.74146710109512171"/>
          <c:h val="0.900709219858156"/>
        </c:manualLayout>
      </c:layout>
      <c:barChart>
        <c:barDir val="bar"/>
        <c:grouping val="clustered"/>
        <c:varyColors val="0"/>
        <c:ser>
          <c:idx val="0"/>
          <c:order val="0"/>
          <c:tx>
            <c:strRef>
              <c:f>'Pivot Report'!$B$77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Report'!$A$78:$A$86</c:f>
              <c:strCache>
                <c:ptCount val="8"/>
                <c:pt idx="0">
                  <c:v>None</c:v>
                </c:pt>
                <c:pt idx="1">
                  <c:v>General Practice</c:v>
                </c:pt>
                <c:pt idx="2">
                  <c:v>Orthopedics</c:v>
                </c:pt>
                <c:pt idx="3">
                  <c:v>Cardiology</c:v>
                </c:pt>
                <c:pt idx="4">
                  <c:v>Physiotherapy</c:v>
                </c:pt>
                <c:pt idx="5">
                  <c:v>Gastroenterology</c:v>
                </c:pt>
                <c:pt idx="6">
                  <c:v>Neurology</c:v>
                </c:pt>
                <c:pt idx="7">
                  <c:v>Renal</c:v>
                </c:pt>
              </c:strCache>
            </c:strRef>
          </c:cat>
          <c:val>
            <c:numRef>
              <c:f>'Pivot Report'!$B$78:$B$86</c:f>
              <c:numCache>
                <c:formatCode>0</c:formatCode>
                <c:ptCount val="8"/>
                <c:pt idx="0">
                  <c:v>311</c:v>
                </c:pt>
                <c:pt idx="1">
                  <c:v>93</c:v>
                </c:pt>
                <c:pt idx="2">
                  <c:v>59</c:v>
                </c:pt>
                <c:pt idx="3">
                  <c:v>15</c:v>
                </c:pt>
                <c:pt idx="4">
                  <c:v>14</c:v>
                </c:pt>
                <c:pt idx="5">
                  <c:v>6</c:v>
                </c:pt>
                <c:pt idx="6">
                  <c:v>5</c:v>
                </c:pt>
                <c:pt idx="7">
                  <c:v>3</c:v>
                </c:pt>
              </c:numCache>
            </c:numRef>
          </c:val>
          <c:extLst>
            <c:ext xmlns:c16="http://schemas.microsoft.com/office/drawing/2014/chart" uri="{C3380CC4-5D6E-409C-BE32-E72D297353CC}">
              <c16:uniqueId val="{00000000-A60F-42C2-9B7D-83174124EC58}"/>
            </c:ext>
          </c:extLst>
        </c:ser>
        <c:dLbls>
          <c:showLegendKey val="0"/>
          <c:showVal val="0"/>
          <c:showCatName val="0"/>
          <c:showSerName val="0"/>
          <c:showPercent val="0"/>
          <c:showBubbleSize val="0"/>
        </c:dLbls>
        <c:gapWidth val="72"/>
        <c:axId val="453303264"/>
        <c:axId val="453303744"/>
      </c:barChart>
      <c:catAx>
        <c:axId val="45330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3303744"/>
        <c:crosses val="autoZero"/>
        <c:auto val="1"/>
        <c:lblAlgn val="ctr"/>
        <c:lblOffset val="100"/>
        <c:noMultiLvlLbl val="0"/>
      </c:catAx>
      <c:valAx>
        <c:axId val="453303744"/>
        <c:scaling>
          <c:orientation val="minMax"/>
        </c:scaling>
        <c:delete val="1"/>
        <c:axPos val="b"/>
        <c:numFmt formatCode="0" sourceLinked="1"/>
        <c:majorTickMark val="none"/>
        <c:minorTickMark val="none"/>
        <c:tickLblPos val="nextTo"/>
        <c:crossAx val="4533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Report!PivotTable4</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3691-4D63-B90A-E0BE8FC9CA57}"/>
            </c:ext>
          </c:extLst>
        </c:ser>
        <c:dLbls>
          <c:showLegendKey val="0"/>
          <c:showVal val="0"/>
          <c:showCatName val="0"/>
          <c:showSerName val="0"/>
          <c:showPercent val="0"/>
          <c:showBubbleSize val="0"/>
        </c:dLbls>
        <c:axId val="2020747279"/>
        <c:axId val="2020748239"/>
      </c:areaChart>
      <c:catAx>
        <c:axId val="2020747279"/>
        <c:scaling>
          <c:orientation val="minMax"/>
        </c:scaling>
        <c:delete val="1"/>
        <c:axPos val="b"/>
        <c:numFmt formatCode="General" sourceLinked="1"/>
        <c:majorTickMark val="out"/>
        <c:minorTickMark val="none"/>
        <c:tickLblPos val="nextTo"/>
        <c:crossAx val="2020748239"/>
        <c:crosses val="autoZero"/>
        <c:auto val="1"/>
        <c:lblAlgn val="ctr"/>
        <c:lblOffset val="100"/>
        <c:noMultiLvlLbl val="0"/>
      </c:catAx>
      <c:valAx>
        <c:axId val="2020748239"/>
        <c:scaling>
          <c:orientation val="minMax"/>
        </c:scaling>
        <c:delete val="1"/>
        <c:axPos val="l"/>
        <c:numFmt formatCode="0.00" sourceLinked="1"/>
        <c:majorTickMark val="none"/>
        <c:minorTickMark val="none"/>
        <c:tickLblPos val="nextTo"/>
        <c:crossAx val="2020747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Report!PivotTable6</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Report'!$L$6:$L$37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F982-40F4-A092-F724E268B44A}"/>
            </c:ext>
          </c:extLst>
        </c:ser>
        <c:dLbls>
          <c:showLegendKey val="0"/>
          <c:showVal val="0"/>
          <c:showCatName val="0"/>
          <c:showSerName val="0"/>
          <c:showPercent val="0"/>
          <c:showBubbleSize val="0"/>
        </c:dLbls>
        <c:axId val="65899535"/>
        <c:axId val="65907695"/>
      </c:areaChart>
      <c:catAx>
        <c:axId val="65899535"/>
        <c:scaling>
          <c:orientation val="minMax"/>
        </c:scaling>
        <c:delete val="1"/>
        <c:axPos val="b"/>
        <c:numFmt formatCode="General" sourceLinked="1"/>
        <c:majorTickMark val="out"/>
        <c:minorTickMark val="none"/>
        <c:tickLblPos val="nextTo"/>
        <c:crossAx val="65907695"/>
        <c:crosses val="autoZero"/>
        <c:auto val="1"/>
        <c:lblAlgn val="ctr"/>
        <c:lblOffset val="100"/>
        <c:noMultiLvlLbl val="0"/>
      </c:catAx>
      <c:valAx>
        <c:axId val="65907695"/>
        <c:scaling>
          <c:orientation val="minMax"/>
        </c:scaling>
        <c:delete val="1"/>
        <c:axPos val="l"/>
        <c:numFmt formatCode="0.00" sourceLinked="1"/>
        <c:majorTickMark val="none"/>
        <c:minorTickMark val="none"/>
        <c:tickLblPos val="nextTo"/>
        <c:crossAx val="6589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Report'!$E$6</c:f>
              <c:strCache>
                <c:ptCount val="1"/>
                <c:pt idx="0">
                  <c:v>Total</c:v>
                </c:pt>
              </c:strCache>
            </c:strRef>
          </c:tx>
          <c:spPr>
            <a:solidFill>
              <a:schemeClr val="accent1"/>
            </a:solidFill>
            <a:ln w="25400">
              <a:noFill/>
            </a:ln>
            <a:effectLst/>
          </c:spPr>
          <c:cat>
            <c:strRef>
              <c:f>'Pivot Report'!$D$7:$D$38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Report'!$E$7:$E$38</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4E5D-4EC4-B96E-23BFE8EACAA3}"/>
            </c:ext>
          </c:extLst>
        </c:ser>
        <c:dLbls>
          <c:showLegendKey val="0"/>
          <c:showVal val="0"/>
          <c:showCatName val="0"/>
          <c:showSerName val="0"/>
          <c:showPercent val="0"/>
          <c:showBubbleSize val="0"/>
        </c:dLbls>
        <c:axId val="1610683791"/>
        <c:axId val="1610681391"/>
      </c:areaChart>
      <c:catAx>
        <c:axId val="1610683791"/>
        <c:scaling>
          <c:orientation val="minMax"/>
        </c:scaling>
        <c:delete val="1"/>
        <c:axPos val="b"/>
        <c:numFmt formatCode="General" sourceLinked="1"/>
        <c:majorTickMark val="out"/>
        <c:minorTickMark val="none"/>
        <c:tickLblPos val="nextTo"/>
        <c:crossAx val="1610681391"/>
        <c:crosses val="autoZero"/>
        <c:auto val="1"/>
        <c:lblAlgn val="ctr"/>
        <c:lblOffset val="100"/>
        <c:noMultiLvlLbl val="0"/>
      </c:catAx>
      <c:valAx>
        <c:axId val="1610681391"/>
        <c:scaling>
          <c:orientation val="minMax"/>
        </c:scaling>
        <c:delete val="1"/>
        <c:axPos val="l"/>
        <c:numFmt formatCode="General" sourceLinked="1"/>
        <c:majorTickMark val="none"/>
        <c:minorTickMark val="none"/>
        <c:tickLblPos val="nextTo"/>
        <c:crossAx val="1610683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pattFill prst="ltUpDiag">
              <a:fgClr>
                <a:schemeClr val="accent1"/>
              </a:fgClr>
              <a:bgClr>
                <a:schemeClr val="accent1">
                  <a:lumMod val="20000"/>
                  <a:lumOff val="80000"/>
                </a:schemeClr>
              </a:bgClr>
            </a:pattFill>
            <a:ln w="25400">
              <a:noFill/>
            </a:ln>
            <a:effectLst>
              <a:innerShdw blurRad="114300">
                <a:schemeClr val="accent1"/>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Report'!$K$6:$K$37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Report'!$L$6:$L$37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156F-4B21-A976-6F5124D6AB38}"/>
            </c:ext>
          </c:extLst>
        </c:ser>
        <c:dLbls>
          <c:showLegendKey val="0"/>
          <c:showVal val="1"/>
          <c:showCatName val="0"/>
          <c:showSerName val="0"/>
          <c:showPercent val="0"/>
          <c:showBubbleSize val="0"/>
        </c:dLbls>
        <c:axId val="82590240"/>
        <c:axId val="82591680"/>
      </c:areaChart>
      <c:catAx>
        <c:axId val="82590240"/>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82591680"/>
        <c:crosses val="autoZero"/>
        <c:auto val="1"/>
        <c:lblAlgn val="ctr"/>
        <c:lblOffset val="100"/>
        <c:noMultiLvlLbl val="0"/>
      </c:catAx>
      <c:valAx>
        <c:axId val="8259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0240"/>
        <c:crosses val="autoZero"/>
        <c:crossBetween val="midCat"/>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Report!PivotTable4</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534627092846271E-2"/>
          <c:y val="2.9713668287412211E-2"/>
          <c:w val="0.96485920852359208"/>
          <c:h val="0.90762218336970435"/>
        </c:manualLayout>
      </c:layout>
      <c:areaChart>
        <c:grouping val="standard"/>
        <c:varyColors val="0"/>
        <c:ser>
          <c:idx val="0"/>
          <c:order val="0"/>
          <c:tx>
            <c:strRef>
              <c:f>'Pivot Report'!$H$4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1CBE-4AF5-9B22-F2DDC44A607E}"/>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489968688"/>
        <c:axId val="1489967728"/>
      </c:areaChart>
      <c:catAx>
        <c:axId val="14899686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89967728"/>
        <c:crosses val="autoZero"/>
        <c:auto val="1"/>
        <c:lblAlgn val="ctr"/>
        <c:lblOffset val="100"/>
        <c:noMultiLvlLbl val="0"/>
      </c:catAx>
      <c:valAx>
        <c:axId val="14899677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968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 Emergency Room new-5.xlsx]Pivot Report!PivotTable2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Report'!$D$7:$D$38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Report'!$E$7:$E$38</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1-C129-45F8-824D-8A06A6374073}"/>
            </c:ext>
          </c:extLst>
        </c:ser>
        <c:dLbls>
          <c:showLegendKey val="0"/>
          <c:showVal val="0"/>
          <c:showCatName val="0"/>
          <c:showSerName val="0"/>
          <c:showPercent val="0"/>
          <c:showBubbleSize val="0"/>
        </c:dLbls>
        <c:axId val="1610683791"/>
        <c:axId val="1610681391"/>
      </c:areaChart>
      <c:catAx>
        <c:axId val="161068379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681391"/>
        <c:crosses val="autoZero"/>
        <c:auto val="1"/>
        <c:lblAlgn val="ctr"/>
        <c:lblOffset val="100"/>
        <c:noMultiLvlLbl val="0"/>
      </c:catAx>
      <c:valAx>
        <c:axId val="1610681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683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320390</xdr:colOff>
      <xdr:row>43</xdr:row>
      <xdr:rowOff>129889</xdr:rowOff>
    </xdr:from>
    <xdr:to>
      <xdr:col>3</xdr:col>
      <xdr:colOff>1524001</xdr:colOff>
      <xdr:row>46</xdr:row>
      <xdr:rowOff>86591</xdr:rowOff>
    </xdr:to>
    <xdr:graphicFrame macro="">
      <xdr:nvGraphicFramePr>
        <xdr:cNvPr id="15" name="Chart 14">
          <a:extLst>
            <a:ext uri="{FF2B5EF4-FFF2-40B4-BE49-F238E27FC236}">
              <a16:creationId xmlns:a16="http://schemas.microsoft.com/office/drawing/2014/main" id="{B32A99CD-3955-899C-9665-4019987DD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435379</xdr:colOff>
      <xdr:row>7</xdr:row>
      <xdr:rowOff>174914</xdr:rowOff>
    </xdr:from>
    <xdr:to>
      <xdr:col>15</xdr:col>
      <xdr:colOff>445770</xdr:colOff>
      <xdr:row>21</xdr:row>
      <xdr:rowOff>96116</xdr:rowOff>
    </xdr:to>
    <mc:AlternateContent xmlns:mc="http://schemas.openxmlformats.org/markup-compatibility/2006" xmlns:a14="http://schemas.microsoft.com/office/drawing/2010/main">
      <mc:Choice Requires="a14">
        <xdr:graphicFrame macro="">
          <xdr:nvGraphicFramePr>
            <xdr:cNvPr id="8" name="Date (Month)">
              <a:extLst>
                <a:ext uri="{FF2B5EF4-FFF2-40B4-BE49-F238E27FC236}">
                  <a16:creationId xmlns:a16="http://schemas.microsoft.com/office/drawing/2014/main" id="{132771E7-7FEA-23CE-23E7-8E1E1E59D51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246629" y="1447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262198</xdr:colOff>
      <xdr:row>67</xdr:row>
      <xdr:rowOff>99406</xdr:rowOff>
    </xdr:from>
    <xdr:to>
      <xdr:col>5</xdr:col>
      <xdr:colOff>1017270</xdr:colOff>
      <xdr:row>72</xdr:row>
      <xdr:rowOff>86591</xdr:rowOff>
    </xdr:to>
    <mc:AlternateContent xmlns:mc="http://schemas.openxmlformats.org/markup-compatibility/2006" xmlns:a14="http://schemas.microsoft.com/office/drawing/2010/main">
      <mc:Choice Requires="a14">
        <xdr:graphicFrame macro="">
          <xdr:nvGraphicFramePr>
            <xdr:cNvPr id="2" name="Date (Year)">
              <a:extLst>
                <a:ext uri="{FF2B5EF4-FFF2-40B4-BE49-F238E27FC236}">
                  <a16:creationId xmlns:a16="http://schemas.microsoft.com/office/drawing/2014/main" id="{9F73450A-302B-C5A8-1F56-92999C62C6D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15493" y="12282747"/>
              <a:ext cx="1828800" cy="896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91440</xdr:colOff>
      <xdr:row>0</xdr:row>
      <xdr:rowOff>106680</xdr:rowOff>
    </xdr:from>
    <xdr:to>
      <xdr:col>7</xdr:col>
      <xdr:colOff>419100</xdr:colOff>
      <xdr:row>5</xdr:row>
      <xdr:rowOff>38100</xdr:rowOff>
    </xdr:to>
    <xdr:sp macro="" textlink="">
      <xdr:nvSpPr>
        <xdr:cNvPr id="2" name="Rectangle: Rounded Corners 1">
          <a:extLst>
            <a:ext uri="{FF2B5EF4-FFF2-40B4-BE49-F238E27FC236}">
              <a16:creationId xmlns:a16="http://schemas.microsoft.com/office/drawing/2014/main" id="{03C29FB2-3E65-B2E5-C4FE-E51EBF1CCEB0}"/>
            </a:ext>
          </a:extLst>
        </xdr:cNvPr>
        <xdr:cNvSpPr/>
      </xdr:nvSpPr>
      <xdr:spPr>
        <a:xfrm>
          <a:off x="91440" y="106680"/>
          <a:ext cx="4594860" cy="8458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106680</xdr:colOff>
      <xdr:row>5</xdr:row>
      <xdr:rowOff>152400</xdr:rowOff>
    </xdr:from>
    <xdr:to>
      <xdr:col>1</xdr:col>
      <xdr:colOff>571500</xdr:colOff>
      <xdr:row>27</xdr:row>
      <xdr:rowOff>15240</xdr:rowOff>
    </xdr:to>
    <xdr:sp macro="" textlink="">
      <xdr:nvSpPr>
        <xdr:cNvPr id="3" name="Rectangle: Rounded Corners 2">
          <a:extLst>
            <a:ext uri="{FF2B5EF4-FFF2-40B4-BE49-F238E27FC236}">
              <a16:creationId xmlns:a16="http://schemas.microsoft.com/office/drawing/2014/main" id="{E3184CD6-B43A-40B8-9925-9179AC7CC382}"/>
            </a:ext>
          </a:extLst>
        </xdr:cNvPr>
        <xdr:cNvSpPr/>
      </xdr:nvSpPr>
      <xdr:spPr>
        <a:xfrm>
          <a:off x="106680" y="1066800"/>
          <a:ext cx="1074420" cy="3886200"/>
        </a:xfrm>
        <a:prstGeom prst="roundRect">
          <a:avLst>
            <a:gd name="adj" fmla="val 1216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129540</xdr:colOff>
      <xdr:row>6</xdr:row>
      <xdr:rowOff>144780</xdr:rowOff>
    </xdr:from>
    <xdr:to>
      <xdr:col>4</xdr:col>
      <xdr:colOff>499258</xdr:colOff>
      <xdr:row>13</xdr:row>
      <xdr:rowOff>177002</xdr:rowOff>
    </xdr:to>
    <xdr:sp macro="" textlink="">
      <xdr:nvSpPr>
        <xdr:cNvPr id="4" name="Rectangle: Rounded Corners 3">
          <a:extLst>
            <a:ext uri="{FF2B5EF4-FFF2-40B4-BE49-F238E27FC236}">
              <a16:creationId xmlns:a16="http://schemas.microsoft.com/office/drawing/2014/main" id="{53AAF202-A685-47E7-BF50-44C4C8CCAE7D}"/>
            </a:ext>
          </a:extLst>
        </xdr:cNvPr>
        <xdr:cNvSpPr/>
      </xdr:nvSpPr>
      <xdr:spPr>
        <a:xfrm>
          <a:off x="1348740" y="1242060"/>
          <a:ext cx="1588918" cy="13123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46895</xdr:colOff>
      <xdr:row>6</xdr:row>
      <xdr:rowOff>163939</xdr:rowOff>
    </xdr:from>
    <xdr:to>
      <xdr:col>7</xdr:col>
      <xdr:colOff>416613</xdr:colOff>
      <xdr:row>14</xdr:row>
      <xdr:rowOff>13281</xdr:rowOff>
    </xdr:to>
    <xdr:sp macro="" textlink="">
      <xdr:nvSpPr>
        <xdr:cNvPr id="5" name="Rectangle: Rounded Corners 4">
          <a:extLst>
            <a:ext uri="{FF2B5EF4-FFF2-40B4-BE49-F238E27FC236}">
              <a16:creationId xmlns:a16="http://schemas.microsoft.com/office/drawing/2014/main" id="{490AE7AD-31DE-4E54-85BE-1F7CD1EEE2D2}"/>
            </a:ext>
          </a:extLst>
        </xdr:cNvPr>
        <xdr:cNvSpPr/>
      </xdr:nvSpPr>
      <xdr:spPr>
        <a:xfrm>
          <a:off x="3094895" y="1261219"/>
          <a:ext cx="1588918" cy="13123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598022</xdr:colOff>
      <xdr:row>7</xdr:row>
      <xdr:rowOff>13498</xdr:rowOff>
    </xdr:from>
    <xdr:to>
      <xdr:col>10</xdr:col>
      <xdr:colOff>358140</xdr:colOff>
      <xdr:row>14</xdr:row>
      <xdr:rowOff>45720</xdr:rowOff>
    </xdr:to>
    <xdr:sp macro="" textlink="">
      <xdr:nvSpPr>
        <xdr:cNvPr id="6" name="Rectangle: Rounded Corners 5">
          <a:extLst>
            <a:ext uri="{FF2B5EF4-FFF2-40B4-BE49-F238E27FC236}">
              <a16:creationId xmlns:a16="http://schemas.microsoft.com/office/drawing/2014/main" id="{63D4F142-97A1-4520-878C-FA53D2CBC73A}"/>
            </a:ext>
          </a:extLst>
        </xdr:cNvPr>
        <xdr:cNvSpPr/>
      </xdr:nvSpPr>
      <xdr:spPr>
        <a:xfrm>
          <a:off x="4865222" y="1293658"/>
          <a:ext cx="1588918" cy="13123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525780</xdr:colOff>
      <xdr:row>0</xdr:row>
      <xdr:rowOff>106680</xdr:rowOff>
    </xdr:from>
    <xdr:to>
      <xdr:col>10</xdr:col>
      <xdr:colOff>342900</xdr:colOff>
      <xdr:row>5</xdr:row>
      <xdr:rowOff>68580</xdr:rowOff>
    </xdr:to>
    <xdr:sp macro="" textlink="">
      <xdr:nvSpPr>
        <xdr:cNvPr id="7" name="Rectangle: Rounded Corners 6">
          <a:extLst>
            <a:ext uri="{FF2B5EF4-FFF2-40B4-BE49-F238E27FC236}">
              <a16:creationId xmlns:a16="http://schemas.microsoft.com/office/drawing/2014/main" id="{27D30D7D-3FC3-455A-ACD3-1FADB9BF10DB}"/>
            </a:ext>
          </a:extLst>
        </xdr:cNvPr>
        <xdr:cNvSpPr/>
      </xdr:nvSpPr>
      <xdr:spPr>
        <a:xfrm>
          <a:off x="4792980" y="106680"/>
          <a:ext cx="1645920" cy="876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502920</xdr:colOff>
      <xdr:row>0</xdr:row>
      <xdr:rowOff>99060</xdr:rowOff>
    </xdr:from>
    <xdr:to>
      <xdr:col>14</xdr:col>
      <xdr:colOff>518160</xdr:colOff>
      <xdr:row>13</xdr:row>
      <xdr:rowOff>151387</xdr:rowOff>
    </xdr:to>
    <xdr:sp macro="" textlink="">
      <xdr:nvSpPr>
        <xdr:cNvPr id="8" name="Rectangle: Rounded Corners 7">
          <a:extLst>
            <a:ext uri="{FF2B5EF4-FFF2-40B4-BE49-F238E27FC236}">
              <a16:creationId xmlns:a16="http://schemas.microsoft.com/office/drawing/2014/main" id="{F8B55CD4-7228-4A24-AF5D-C98C98A59654}"/>
            </a:ext>
          </a:extLst>
        </xdr:cNvPr>
        <xdr:cNvSpPr/>
      </xdr:nvSpPr>
      <xdr:spPr>
        <a:xfrm>
          <a:off x="6598920" y="99060"/>
          <a:ext cx="2453640" cy="24297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594360</xdr:colOff>
      <xdr:row>0</xdr:row>
      <xdr:rowOff>114806</xdr:rowOff>
    </xdr:from>
    <xdr:to>
      <xdr:col>18</xdr:col>
      <xdr:colOff>548640</xdr:colOff>
      <xdr:row>13</xdr:row>
      <xdr:rowOff>175260</xdr:rowOff>
    </xdr:to>
    <xdr:sp macro="" textlink="">
      <xdr:nvSpPr>
        <xdr:cNvPr id="9" name="Rectangle: Rounded Corners 8">
          <a:extLst>
            <a:ext uri="{FF2B5EF4-FFF2-40B4-BE49-F238E27FC236}">
              <a16:creationId xmlns:a16="http://schemas.microsoft.com/office/drawing/2014/main" id="{ED1CAB04-86C6-4D52-B4FF-8A8FD93A98AE}"/>
            </a:ext>
          </a:extLst>
        </xdr:cNvPr>
        <xdr:cNvSpPr/>
      </xdr:nvSpPr>
      <xdr:spPr>
        <a:xfrm>
          <a:off x="9128760" y="114806"/>
          <a:ext cx="2392680" cy="243789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129540</xdr:colOff>
      <xdr:row>14</xdr:row>
      <xdr:rowOff>175260</xdr:rowOff>
    </xdr:from>
    <xdr:to>
      <xdr:col>10</xdr:col>
      <xdr:colOff>350520</xdr:colOff>
      <xdr:row>26</xdr:row>
      <xdr:rowOff>114300</xdr:rowOff>
    </xdr:to>
    <xdr:sp macro="" textlink="">
      <xdr:nvSpPr>
        <xdr:cNvPr id="10" name="Rectangle: Rounded Corners 9">
          <a:extLst>
            <a:ext uri="{FF2B5EF4-FFF2-40B4-BE49-F238E27FC236}">
              <a16:creationId xmlns:a16="http://schemas.microsoft.com/office/drawing/2014/main" id="{F0954167-227B-4046-BEF8-8F78B3D340E3}"/>
            </a:ext>
          </a:extLst>
        </xdr:cNvPr>
        <xdr:cNvSpPr/>
      </xdr:nvSpPr>
      <xdr:spPr>
        <a:xfrm>
          <a:off x="1348740" y="2735580"/>
          <a:ext cx="5097780" cy="2133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472440</xdr:colOff>
      <xdr:row>14</xdr:row>
      <xdr:rowOff>160020</xdr:rowOff>
    </xdr:from>
    <xdr:to>
      <xdr:col>18</xdr:col>
      <xdr:colOff>419100</xdr:colOff>
      <xdr:row>26</xdr:row>
      <xdr:rowOff>129540</xdr:rowOff>
    </xdr:to>
    <xdr:sp macro="" textlink="">
      <xdr:nvSpPr>
        <xdr:cNvPr id="12" name="Rectangle: Rounded Corners 11">
          <a:extLst>
            <a:ext uri="{FF2B5EF4-FFF2-40B4-BE49-F238E27FC236}">
              <a16:creationId xmlns:a16="http://schemas.microsoft.com/office/drawing/2014/main" id="{F6E76009-B28B-4632-8495-6A836FF81B8F}"/>
            </a:ext>
          </a:extLst>
        </xdr:cNvPr>
        <xdr:cNvSpPr/>
      </xdr:nvSpPr>
      <xdr:spPr>
        <a:xfrm>
          <a:off x="6568440" y="2720340"/>
          <a:ext cx="4823460" cy="2164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518160</xdr:colOff>
      <xdr:row>1</xdr:row>
      <xdr:rowOff>144780</xdr:rowOff>
    </xdr:from>
    <xdr:to>
      <xdr:col>7</xdr:col>
      <xdr:colOff>60960</xdr:colOff>
      <xdr:row>3</xdr:row>
      <xdr:rowOff>60960</xdr:rowOff>
    </xdr:to>
    <xdr:sp macro="" textlink="">
      <xdr:nvSpPr>
        <xdr:cNvPr id="14" name="TextBox 13">
          <a:extLst>
            <a:ext uri="{FF2B5EF4-FFF2-40B4-BE49-F238E27FC236}">
              <a16:creationId xmlns:a16="http://schemas.microsoft.com/office/drawing/2014/main" id="{11F093E6-154C-6F44-F72F-72CF95C70812}"/>
            </a:ext>
          </a:extLst>
        </xdr:cNvPr>
        <xdr:cNvSpPr txBox="1"/>
      </xdr:nvSpPr>
      <xdr:spPr>
        <a:xfrm>
          <a:off x="1127760" y="327660"/>
          <a:ext cx="32004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Hospital Emergency Room Dashboard</a:t>
          </a:r>
        </a:p>
      </xdr:txBody>
    </xdr:sp>
    <xdr:clientData/>
  </xdr:twoCellAnchor>
  <xdr:twoCellAnchor editAs="oneCell">
    <xdr:from>
      <xdr:col>0</xdr:col>
      <xdr:colOff>45720</xdr:colOff>
      <xdr:row>0</xdr:row>
      <xdr:rowOff>167640</xdr:rowOff>
    </xdr:from>
    <xdr:to>
      <xdr:col>2</xdr:col>
      <xdr:colOff>28227</xdr:colOff>
      <xdr:row>4</xdr:row>
      <xdr:rowOff>175260</xdr:rowOff>
    </xdr:to>
    <xdr:pic>
      <xdr:nvPicPr>
        <xdr:cNvPr id="16" name="Picture 15">
          <a:extLst>
            <a:ext uri="{FF2B5EF4-FFF2-40B4-BE49-F238E27FC236}">
              <a16:creationId xmlns:a16="http://schemas.microsoft.com/office/drawing/2014/main" id="{FAC81EB8-9948-B93C-141C-DD241EACB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167640"/>
          <a:ext cx="1201707" cy="739140"/>
        </a:xfrm>
        <a:prstGeom prst="rect">
          <a:avLst/>
        </a:prstGeom>
      </xdr:spPr>
    </xdr:pic>
    <xdr:clientData/>
  </xdr:twoCellAnchor>
  <xdr:twoCellAnchor>
    <xdr:from>
      <xdr:col>3</xdr:col>
      <xdr:colOff>175260</xdr:colOff>
      <xdr:row>2</xdr:row>
      <xdr:rowOff>152400</xdr:rowOff>
    </xdr:from>
    <xdr:to>
      <xdr:col>5</xdr:col>
      <xdr:colOff>365760</xdr:colOff>
      <xdr:row>4</xdr:row>
      <xdr:rowOff>106680</xdr:rowOff>
    </xdr:to>
    <xdr:sp macro="" textlink="">
      <xdr:nvSpPr>
        <xdr:cNvPr id="17" name="TextBox 16">
          <a:extLst>
            <a:ext uri="{FF2B5EF4-FFF2-40B4-BE49-F238E27FC236}">
              <a16:creationId xmlns:a16="http://schemas.microsoft.com/office/drawing/2014/main" id="{5310FA97-2057-7137-120B-350B8E9C0E47}"/>
            </a:ext>
          </a:extLst>
        </xdr:cNvPr>
        <xdr:cNvSpPr txBox="1"/>
      </xdr:nvSpPr>
      <xdr:spPr>
        <a:xfrm>
          <a:off x="2004060" y="518160"/>
          <a:ext cx="14097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Monthly Report</a:t>
          </a:r>
        </a:p>
      </xdr:txBody>
    </xdr:sp>
    <xdr:clientData/>
  </xdr:twoCellAnchor>
  <xdr:twoCellAnchor>
    <xdr:from>
      <xdr:col>2</xdr:col>
      <xdr:colOff>144780</xdr:colOff>
      <xdr:row>9</xdr:row>
      <xdr:rowOff>137160</xdr:rowOff>
    </xdr:from>
    <xdr:to>
      <xdr:col>4</xdr:col>
      <xdr:colOff>480060</xdr:colOff>
      <xdr:row>11</xdr:row>
      <xdr:rowOff>53340</xdr:rowOff>
    </xdr:to>
    <xdr:sp macro="" textlink="">
      <xdr:nvSpPr>
        <xdr:cNvPr id="18" name="TextBox 17">
          <a:extLst>
            <a:ext uri="{FF2B5EF4-FFF2-40B4-BE49-F238E27FC236}">
              <a16:creationId xmlns:a16="http://schemas.microsoft.com/office/drawing/2014/main" id="{6EB6448F-1147-D53B-D85A-F757D10181FA}"/>
            </a:ext>
          </a:extLst>
        </xdr:cNvPr>
        <xdr:cNvSpPr txBox="1"/>
      </xdr:nvSpPr>
      <xdr:spPr>
        <a:xfrm>
          <a:off x="1363980" y="178308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No-of</a:t>
          </a:r>
          <a:r>
            <a:rPr lang="en-US" sz="1200" b="0" baseline="0"/>
            <a:t> Patients</a:t>
          </a:r>
          <a:endParaRPr lang="en-US" sz="1200" b="0"/>
        </a:p>
      </xdr:txBody>
    </xdr:sp>
    <xdr:clientData/>
  </xdr:twoCellAnchor>
  <xdr:twoCellAnchor>
    <xdr:from>
      <xdr:col>5</xdr:col>
      <xdr:colOff>76200</xdr:colOff>
      <xdr:row>9</xdr:row>
      <xdr:rowOff>137160</xdr:rowOff>
    </xdr:from>
    <xdr:to>
      <xdr:col>7</xdr:col>
      <xdr:colOff>411480</xdr:colOff>
      <xdr:row>11</xdr:row>
      <xdr:rowOff>53340</xdr:rowOff>
    </xdr:to>
    <xdr:sp macro="" textlink="">
      <xdr:nvSpPr>
        <xdr:cNvPr id="19" name="TextBox 18">
          <a:extLst>
            <a:ext uri="{FF2B5EF4-FFF2-40B4-BE49-F238E27FC236}">
              <a16:creationId xmlns:a16="http://schemas.microsoft.com/office/drawing/2014/main" id="{8D1CDFAB-02C0-4C49-E9E1-F3D86BB8F935}"/>
            </a:ext>
          </a:extLst>
        </xdr:cNvPr>
        <xdr:cNvSpPr txBox="1"/>
      </xdr:nvSpPr>
      <xdr:spPr>
        <a:xfrm>
          <a:off x="3124200" y="178308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Average</a:t>
          </a:r>
          <a:r>
            <a:rPr lang="en-US" sz="1200" b="0" baseline="0"/>
            <a:t> Waiting Time</a:t>
          </a:r>
          <a:endParaRPr lang="en-US" sz="1200" b="0"/>
        </a:p>
      </xdr:txBody>
    </xdr:sp>
    <xdr:clientData/>
  </xdr:twoCellAnchor>
  <xdr:twoCellAnchor>
    <xdr:from>
      <xdr:col>7</xdr:col>
      <xdr:colOff>480060</xdr:colOff>
      <xdr:row>9</xdr:row>
      <xdr:rowOff>137160</xdr:rowOff>
    </xdr:from>
    <xdr:to>
      <xdr:col>10</xdr:col>
      <xdr:colOff>449580</xdr:colOff>
      <xdr:row>11</xdr:row>
      <xdr:rowOff>53340</xdr:rowOff>
    </xdr:to>
    <xdr:sp macro="" textlink="">
      <xdr:nvSpPr>
        <xdr:cNvPr id="20" name="TextBox 19">
          <a:extLst>
            <a:ext uri="{FF2B5EF4-FFF2-40B4-BE49-F238E27FC236}">
              <a16:creationId xmlns:a16="http://schemas.microsoft.com/office/drawing/2014/main" id="{5FBFEF1A-2F94-3EE6-A7B1-63F3F2ED5746}"/>
            </a:ext>
          </a:extLst>
        </xdr:cNvPr>
        <xdr:cNvSpPr txBox="1"/>
      </xdr:nvSpPr>
      <xdr:spPr>
        <a:xfrm>
          <a:off x="4747260" y="1783080"/>
          <a:ext cx="1798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Patient Satisfaction</a:t>
          </a:r>
          <a:r>
            <a:rPr lang="en-US" sz="1200" b="0" baseline="0"/>
            <a:t> </a:t>
          </a:r>
          <a:r>
            <a:rPr lang="en-US" sz="1200" b="0"/>
            <a:t>Score</a:t>
          </a:r>
        </a:p>
      </xdr:txBody>
    </xdr:sp>
    <xdr:clientData/>
  </xdr:twoCellAnchor>
  <xdr:twoCellAnchor>
    <xdr:from>
      <xdr:col>2</xdr:col>
      <xdr:colOff>144780</xdr:colOff>
      <xdr:row>8</xdr:row>
      <xdr:rowOff>137160</xdr:rowOff>
    </xdr:from>
    <xdr:to>
      <xdr:col>4</xdr:col>
      <xdr:colOff>480060</xdr:colOff>
      <xdr:row>10</xdr:row>
      <xdr:rowOff>53340</xdr:rowOff>
    </xdr:to>
    <xdr:sp macro="" textlink="'Pivot Report'!A4">
      <xdr:nvSpPr>
        <xdr:cNvPr id="21" name="TextBox 20">
          <a:extLst>
            <a:ext uri="{FF2B5EF4-FFF2-40B4-BE49-F238E27FC236}">
              <a16:creationId xmlns:a16="http://schemas.microsoft.com/office/drawing/2014/main" id="{EF6D7E36-108D-75A1-02C3-FF7D9B697DF5}"/>
            </a:ext>
          </a:extLst>
        </xdr:cNvPr>
        <xdr:cNvSpPr txBox="1"/>
      </xdr:nvSpPr>
      <xdr:spPr>
        <a:xfrm>
          <a:off x="1363980" y="160020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7F6CCD-289C-4316-9AD5-7D2E4A2147F4}" type="TxLink">
            <a:rPr lang="en-US" sz="1100" b="0" i="0" u="none" strike="noStrike">
              <a:solidFill>
                <a:srgbClr val="000000"/>
              </a:solidFill>
              <a:latin typeface="Calibri"/>
              <a:ea typeface="Calibri"/>
              <a:cs typeface="Calibri"/>
            </a:rPr>
            <a:pPr algn="ctr"/>
            <a:t>506</a:t>
          </a:fld>
          <a:endParaRPr lang="en-US" sz="1200" b="0"/>
        </a:p>
      </xdr:txBody>
    </xdr:sp>
    <xdr:clientData/>
  </xdr:twoCellAnchor>
  <xdr:twoCellAnchor>
    <xdr:from>
      <xdr:col>5</xdr:col>
      <xdr:colOff>60960</xdr:colOff>
      <xdr:row>8</xdr:row>
      <xdr:rowOff>137160</xdr:rowOff>
    </xdr:from>
    <xdr:to>
      <xdr:col>7</xdr:col>
      <xdr:colOff>396240</xdr:colOff>
      <xdr:row>10</xdr:row>
      <xdr:rowOff>53340</xdr:rowOff>
    </xdr:to>
    <xdr:sp macro="" textlink="'Pivot Report'!A11">
      <xdr:nvSpPr>
        <xdr:cNvPr id="22" name="TextBox 21">
          <a:extLst>
            <a:ext uri="{FF2B5EF4-FFF2-40B4-BE49-F238E27FC236}">
              <a16:creationId xmlns:a16="http://schemas.microsoft.com/office/drawing/2014/main" id="{44A32624-EF04-9D1C-4E76-71A6661FC235}"/>
            </a:ext>
          </a:extLst>
        </xdr:cNvPr>
        <xdr:cNvSpPr txBox="1"/>
      </xdr:nvSpPr>
      <xdr:spPr>
        <a:xfrm>
          <a:off x="3108960" y="160020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53C261-A92D-47B7-9E53-B261381494A8}" type="TxLink">
            <a:rPr lang="en-US" sz="1100" b="0" i="0" u="none" strike="noStrike">
              <a:solidFill>
                <a:srgbClr val="000000"/>
              </a:solidFill>
              <a:latin typeface="Calibri"/>
              <a:ea typeface="Calibri"/>
              <a:cs typeface="Calibri"/>
            </a:rPr>
            <a:pPr algn="ctr"/>
            <a:t>35.88</a:t>
          </a:fld>
          <a:endParaRPr lang="en-US" sz="1200" b="0"/>
        </a:p>
      </xdr:txBody>
    </xdr:sp>
    <xdr:clientData/>
  </xdr:twoCellAnchor>
  <xdr:twoCellAnchor>
    <xdr:from>
      <xdr:col>8</xdr:col>
      <xdr:colOff>0</xdr:colOff>
      <xdr:row>8</xdr:row>
      <xdr:rowOff>137160</xdr:rowOff>
    </xdr:from>
    <xdr:to>
      <xdr:col>10</xdr:col>
      <xdr:colOff>335280</xdr:colOff>
      <xdr:row>10</xdr:row>
      <xdr:rowOff>53340</xdr:rowOff>
    </xdr:to>
    <xdr:sp macro="" textlink="'Pivot Report'!A17">
      <xdr:nvSpPr>
        <xdr:cNvPr id="23" name="TextBox 22">
          <a:extLst>
            <a:ext uri="{FF2B5EF4-FFF2-40B4-BE49-F238E27FC236}">
              <a16:creationId xmlns:a16="http://schemas.microsoft.com/office/drawing/2014/main" id="{476D7F16-22A3-54A3-5830-7DCE9584088D}"/>
            </a:ext>
          </a:extLst>
        </xdr:cNvPr>
        <xdr:cNvSpPr txBox="1"/>
      </xdr:nvSpPr>
      <xdr:spPr>
        <a:xfrm>
          <a:off x="4876800" y="160020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A2159F-13E8-42AA-864F-867BE837CF7D}" type="TxLink">
            <a:rPr lang="en-US" sz="1100" b="0" i="0" u="none" strike="noStrike">
              <a:solidFill>
                <a:srgbClr val="000000"/>
              </a:solidFill>
              <a:latin typeface="Calibri"/>
              <a:ea typeface="Calibri"/>
              <a:cs typeface="Calibri"/>
            </a:rPr>
            <a:pPr algn="ctr"/>
            <a:t>5.33</a:t>
          </a:fld>
          <a:endParaRPr lang="en-US" sz="1200" b="0"/>
        </a:p>
      </xdr:txBody>
    </xdr:sp>
    <xdr:clientData/>
  </xdr:twoCellAnchor>
  <xdr:twoCellAnchor>
    <xdr:from>
      <xdr:col>2</xdr:col>
      <xdr:colOff>327660</xdr:colOff>
      <xdr:row>15</xdr:row>
      <xdr:rowOff>22861</xdr:rowOff>
    </xdr:from>
    <xdr:to>
      <xdr:col>10</xdr:col>
      <xdr:colOff>121920</xdr:colOff>
      <xdr:row>24</xdr:row>
      <xdr:rowOff>121921</xdr:rowOff>
    </xdr:to>
    <xdr:graphicFrame macro="">
      <xdr:nvGraphicFramePr>
        <xdr:cNvPr id="11" name="Chart 10">
          <a:extLst>
            <a:ext uri="{FF2B5EF4-FFF2-40B4-BE49-F238E27FC236}">
              <a16:creationId xmlns:a16="http://schemas.microsoft.com/office/drawing/2014/main" id="{9581043A-60F4-4531-BDE5-63A1EEB19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76200</xdr:colOff>
      <xdr:row>1</xdr:row>
      <xdr:rowOff>30480</xdr:rowOff>
    </xdr:from>
    <xdr:to>
      <xdr:col>19</xdr:col>
      <xdr:colOff>548640</xdr:colOff>
      <xdr:row>12</xdr:row>
      <xdr:rowOff>47265</xdr:rowOff>
    </xdr:to>
    <xdr:graphicFrame macro="">
      <xdr:nvGraphicFramePr>
        <xdr:cNvPr id="25" name="Chart 24">
          <a:extLst>
            <a:ext uri="{FF2B5EF4-FFF2-40B4-BE49-F238E27FC236}">
              <a16:creationId xmlns:a16="http://schemas.microsoft.com/office/drawing/2014/main" id="{FBF50A5C-1DA9-4134-A903-665E42177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0</xdr:row>
      <xdr:rowOff>129540</xdr:rowOff>
    </xdr:from>
    <xdr:to>
      <xdr:col>15</xdr:col>
      <xdr:colOff>502920</xdr:colOff>
      <xdr:row>13</xdr:row>
      <xdr:rowOff>129540</xdr:rowOff>
    </xdr:to>
    <xdr:graphicFrame macro="">
      <xdr:nvGraphicFramePr>
        <xdr:cNvPr id="26" name="Chart 25">
          <a:extLst>
            <a:ext uri="{FF2B5EF4-FFF2-40B4-BE49-F238E27FC236}">
              <a16:creationId xmlns:a16="http://schemas.microsoft.com/office/drawing/2014/main" id="{8FDDA22F-89A9-4BDA-8B7C-6A7FD95A8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76200</xdr:colOff>
      <xdr:row>24</xdr:row>
      <xdr:rowOff>121920</xdr:rowOff>
    </xdr:from>
    <xdr:to>
      <xdr:col>7</xdr:col>
      <xdr:colOff>411480</xdr:colOff>
      <xdr:row>26</xdr:row>
      <xdr:rowOff>38100</xdr:rowOff>
    </xdr:to>
    <xdr:sp macro="" textlink="">
      <xdr:nvSpPr>
        <xdr:cNvPr id="27" name="TextBox 26">
          <a:extLst>
            <a:ext uri="{FF2B5EF4-FFF2-40B4-BE49-F238E27FC236}">
              <a16:creationId xmlns:a16="http://schemas.microsoft.com/office/drawing/2014/main" id="{5F5840B3-57B4-2795-6DA0-F100BE08D543}"/>
            </a:ext>
          </a:extLst>
        </xdr:cNvPr>
        <xdr:cNvSpPr txBox="1"/>
      </xdr:nvSpPr>
      <xdr:spPr>
        <a:xfrm>
          <a:off x="3124200" y="451104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Average</a:t>
          </a:r>
          <a:r>
            <a:rPr lang="en-US" sz="1200" b="0" baseline="0"/>
            <a:t> Waiting Time</a:t>
          </a:r>
          <a:endParaRPr lang="en-US" sz="1200" b="0"/>
        </a:p>
      </xdr:txBody>
    </xdr:sp>
    <xdr:clientData/>
  </xdr:twoCellAnchor>
  <xdr:twoCellAnchor>
    <xdr:from>
      <xdr:col>11</xdr:col>
      <xdr:colOff>76200</xdr:colOff>
      <xdr:row>11</xdr:row>
      <xdr:rowOff>175260</xdr:rowOff>
    </xdr:from>
    <xdr:to>
      <xdr:col>14</xdr:col>
      <xdr:colOff>358140</xdr:colOff>
      <xdr:row>13</xdr:row>
      <xdr:rowOff>91440</xdr:rowOff>
    </xdr:to>
    <xdr:sp macro="" textlink="">
      <xdr:nvSpPr>
        <xdr:cNvPr id="28" name="TextBox 27">
          <a:extLst>
            <a:ext uri="{FF2B5EF4-FFF2-40B4-BE49-F238E27FC236}">
              <a16:creationId xmlns:a16="http://schemas.microsoft.com/office/drawing/2014/main" id="{283350E0-630E-213D-9963-F01D5C8C1D98}"/>
            </a:ext>
          </a:extLst>
        </xdr:cNvPr>
        <xdr:cNvSpPr txBox="1"/>
      </xdr:nvSpPr>
      <xdr:spPr>
        <a:xfrm>
          <a:off x="6781800" y="2186940"/>
          <a:ext cx="2110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Patients Attended</a:t>
          </a:r>
          <a:r>
            <a:rPr lang="en-US" sz="1200" b="0" baseline="0"/>
            <a:t> Within Time</a:t>
          </a:r>
          <a:endParaRPr lang="en-US" sz="1200" b="0"/>
        </a:p>
      </xdr:txBody>
    </xdr:sp>
    <xdr:clientData/>
  </xdr:twoCellAnchor>
  <xdr:twoCellAnchor>
    <xdr:from>
      <xdr:col>15</xdr:col>
      <xdr:colOff>274320</xdr:colOff>
      <xdr:row>12</xdr:row>
      <xdr:rowOff>7620</xdr:rowOff>
    </xdr:from>
    <xdr:to>
      <xdr:col>18</xdr:col>
      <xdr:colOff>274320</xdr:colOff>
      <xdr:row>13</xdr:row>
      <xdr:rowOff>106680</xdr:rowOff>
    </xdr:to>
    <xdr:sp macro="" textlink="">
      <xdr:nvSpPr>
        <xdr:cNvPr id="29" name="TextBox 28">
          <a:extLst>
            <a:ext uri="{FF2B5EF4-FFF2-40B4-BE49-F238E27FC236}">
              <a16:creationId xmlns:a16="http://schemas.microsoft.com/office/drawing/2014/main" id="{9D69CA4C-B723-CC31-4D8A-E8928EB9668A}"/>
            </a:ext>
          </a:extLst>
        </xdr:cNvPr>
        <xdr:cNvSpPr txBox="1"/>
      </xdr:nvSpPr>
      <xdr:spPr>
        <a:xfrm>
          <a:off x="9418320" y="2202180"/>
          <a:ext cx="1828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No-of Patients By Gender</a:t>
          </a:r>
        </a:p>
      </xdr:txBody>
    </xdr:sp>
    <xdr:clientData/>
  </xdr:twoCellAnchor>
  <xdr:twoCellAnchor>
    <xdr:from>
      <xdr:col>12</xdr:col>
      <xdr:colOff>381000</xdr:colOff>
      <xdr:row>24</xdr:row>
      <xdr:rowOff>144780</xdr:rowOff>
    </xdr:from>
    <xdr:to>
      <xdr:col>16</xdr:col>
      <xdr:colOff>571500</xdr:colOff>
      <xdr:row>26</xdr:row>
      <xdr:rowOff>60960</xdr:rowOff>
    </xdr:to>
    <xdr:sp macro="" textlink="">
      <xdr:nvSpPr>
        <xdr:cNvPr id="30" name="TextBox 29">
          <a:extLst>
            <a:ext uri="{FF2B5EF4-FFF2-40B4-BE49-F238E27FC236}">
              <a16:creationId xmlns:a16="http://schemas.microsoft.com/office/drawing/2014/main" id="{AC94D4BA-AC45-2AB6-BF68-4690F2EF33FB}"/>
            </a:ext>
          </a:extLst>
        </xdr:cNvPr>
        <xdr:cNvSpPr txBox="1"/>
      </xdr:nvSpPr>
      <xdr:spPr>
        <a:xfrm>
          <a:off x="7696200" y="4533900"/>
          <a:ext cx="26289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No-of Patient by Department Referral</a:t>
          </a:r>
        </a:p>
      </xdr:txBody>
    </xdr:sp>
    <xdr:clientData/>
  </xdr:twoCellAnchor>
  <xdr:twoCellAnchor>
    <xdr:from>
      <xdr:col>11</xdr:col>
      <xdr:colOff>38100</xdr:colOff>
      <xdr:row>15</xdr:row>
      <xdr:rowOff>0</xdr:rowOff>
    </xdr:from>
    <xdr:to>
      <xdr:col>18</xdr:col>
      <xdr:colOff>190500</xdr:colOff>
      <xdr:row>24</xdr:row>
      <xdr:rowOff>144780</xdr:rowOff>
    </xdr:to>
    <xdr:graphicFrame macro="">
      <xdr:nvGraphicFramePr>
        <xdr:cNvPr id="32" name="Chart 31">
          <a:extLst>
            <a:ext uri="{FF2B5EF4-FFF2-40B4-BE49-F238E27FC236}">
              <a16:creationId xmlns:a16="http://schemas.microsoft.com/office/drawing/2014/main" id="{60E8C9A4-B203-49B0-86BA-BC082BF54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92615</xdr:colOff>
      <xdr:row>10</xdr:row>
      <xdr:rowOff>129540</xdr:rowOff>
    </xdr:from>
    <xdr:to>
      <xdr:col>7</xdr:col>
      <xdr:colOff>381000</xdr:colOff>
      <xdr:row>14</xdr:row>
      <xdr:rowOff>144780</xdr:rowOff>
    </xdr:to>
    <xdr:graphicFrame macro="">
      <xdr:nvGraphicFramePr>
        <xdr:cNvPr id="31" name="Chart 30">
          <a:extLst>
            <a:ext uri="{FF2B5EF4-FFF2-40B4-BE49-F238E27FC236}">
              <a16:creationId xmlns:a16="http://schemas.microsoft.com/office/drawing/2014/main" id="{CE7B30E1-2365-4F0F-AB8C-FE4E55A03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8</xdr:row>
      <xdr:rowOff>129540</xdr:rowOff>
    </xdr:from>
    <xdr:to>
      <xdr:col>10</xdr:col>
      <xdr:colOff>350520</xdr:colOff>
      <xdr:row>15</xdr:row>
      <xdr:rowOff>0</xdr:rowOff>
    </xdr:to>
    <xdr:graphicFrame macro="">
      <xdr:nvGraphicFramePr>
        <xdr:cNvPr id="33" name="Chart 32">
          <a:extLst>
            <a:ext uri="{FF2B5EF4-FFF2-40B4-BE49-F238E27FC236}">
              <a16:creationId xmlns:a16="http://schemas.microsoft.com/office/drawing/2014/main" id="{1C7AC644-BDB6-4C3A-A67F-E33295FD2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22860</xdr:colOff>
      <xdr:row>7</xdr:row>
      <xdr:rowOff>30480</xdr:rowOff>
    </xdr:from>
    <xdr:to>
      <xdr:col>4</xdr:col>
      <xdr:colOff>457200</xdr:colOff>
      <xdr:row>9</xdr:row>
      <xdr:rowOff>99060</xdr:rowOff>
    </xdr:to>
    <xdr:pic>
      <xdr:nvPicPr>
        <xdr:cNvPr id="35" name="Graphic 34" descr="User with solid fill">
          <a:extLst>
            <a:ext uri="{FF2B5EF4-FFF2-40B4-BE49-F238E27FC236}">
              <a16:creationId xmlns:a16="http://schemas.microsoft.com/office/drawing/2014/main" id="{94EA3797-B15F-E160-D739-BBCDC83625A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61260" y="1310640"/>
          <a:ext cx="434340" cy="434340"/>
        </a:xfrm>
        <a:prstGeom prst="rect">
          <a:avLst/>
        </a:prstGeom>
      </xdr:spPr>
    </xdr:pic>
    <xdr:clientData/>
  </xdr:twoCellAnchor>
  <xdr:twoCellAnchor editAs="oneCell">
    <xdr:from>
      <xdr:col>9</xdr:col>
      <xdr:colOff>510540</xdr:colOff>
      <xdr:row>7</xdr:row>
      <xdr:rowOff>68580</xdr:rowOff>
    </xdr:from>
    <xdr:to>
      <xdr:col>10</xdr:col>
      <xdr:colOff>312420</xdr:colOff>
      <xdr:row>9</xdr:row>
      <xdr:rowOff>114300</xdr:rowOff>
    </xdr:to>
    <xdr:pic>
      <xdr:nvPicPr>
        <xdr:cNvPr id="37" name="Graphic 36" descr="Chat with solid fill">
          <a:extLst>
            <a:ext uri="{FF2B5EF4-FFF2-40B4-BE49-F238E27FC236}">
              <a16:creationId xmlns:a16="http://schemas.microsoft.com/office/drawing/2014/main" id="{812F34EE-1485-3B9E-E544-B4123FFE946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96940" y="1348740"/>
          <a:ext cx="411480" cy="411480"/>
        </a:xfrm>
        <a:prstGeom prst="rect">
          <a:avLst/>
        </a:prstGeom>
      </xdr:spPr>
    </xdr:pic>
    <xdr:clientData/>
  </xdr:twoCellAnchor>
  <xdr:twoCellAnchor editAs="oneCell">
    <xdr:from>
      <xdr:col>7</xdr:col>
      <xdr:colOff>30480</xdr:colOff>
      <xdr:row>7</xdr:row>
      <xdr:rowOff>60960</xdr:rowOff>
    </xdr:from>
    <xdr:to>
      <xdr:col>7</xdr:col>
      <xdr:colOff>381000</xdr:colOff>
      <xdr:row>9</xdr:row>
      <xdr:rowOff>45720</xdr:rowOff>
    </xdr:to>
    <xdr:pic>
      <xdr:nvPicPr>
        <xdr:cNvPr id="39" name="Graphic 38" descr="Hourglass Finished with solid fill">
          <a:extLst>
            <a:ext uri="{FF2B5EF4-FFF2-40B4-BE49-F238E27FC236}">
              <a16:creationId xmlns:a16="http://schemas.microsoft.com/office/drawing/2014/main" id="{3B1182DD-E5BC-3FE9-421D-90048092F99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297680" y="1341120"/>
          <a:ext cx="350520" cy="350520"/>
        </a:xfrm>
        <a:prstGeom prst="rect">
          <a:avLst/>
        </a:prstGeom>
      </xdr:spPr>
    </xdr:pic>
    <xdr:clientData/>
  </xdr:twoCellAnchor>
  <xdr:twoCellAnchor editAs="oneCell">
    <xdr:from>
      <xdr:col>0</xdr:col>
      <xdr:colOff>182880</xdr:colOff>
      <xdr:row>6</xdr:row>
      <xdr:rowOff>38100</xdr:rowOff>
    </xdr:from>
    <xdr:to>
      <xdr:col>1</xdr:col>
      <xdr:colOff>487680</xdr:colOff>
      <xdr:row>26</xdr:row>
      <xdr:rowOff>129540</xdr:rowOff>
    </xdr:to>
    <mc:AlternateContent xmlns:mc="http://schemas.openxmlformats.org/markup-compatibility/2006" xmlns:a14="http://schemas.microsoft.com/office/drawing/2010/main">
      <mc:Choice Requires="a14">
        <xdr:graphicFrame macro="">
          <xdr:nvGraphicFramePr>
            <xdr:cNvPr id="15" name="Date (Month) 1">
              <a:extLst>
                <a:ext uri="{FF2B5EF4-FFF2-40B4-BE49-F238E27FC236}">
                  <a16:creationId xmlns:a16="http://schemas.microsoft.com/office/drawing/2014/main" id="{1F37576C-6A85-46DE-9249-37A091E21CF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82880" y="1135380"/>
              <a:ext cx="914400" cy="3749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129540</xdr:colOff>
      <xdr:row>9</xdr:row>
      <xdr:rowOff>91440</xdr:rowOff>
    </xdr:from>
    <xdr:to>
      <xdr:col>4</xdr:col>
      <xdr:colOff>510540</xdr:colOff>
      <xdr:row>14</xdr:row>
      <xdr:rowOff>121920</xdr:rowOff>
    </xdr:to>
    <xdr:graphicFrame macro="">
      <xdr:nvGraphicFramePr>
        <xdr:cNvPr id="24" name="Chart 23">
          <a:extLst>
            <a:ext uri="{FF2B5EF4-FFF2-40B4-BE49-F238E27FC236}">
              <a16:creationId xmlns:a16="http://schemas.microsoft.com/office/drawing/2014/main" id="{BBFCF7B7-490A-4A0D-9838-5C9696644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8</xdr:col>
      <xdr:colOff>0</xdr:colOff>
      <xdr:row>0</xdr:row>
      <xdr:rowOff>175261</xdr:rowOff>
    </xdr:from>
    <xdr:to>
      <xdr:col>10</xdr:col>
      <xdr:colOff>232410</xdr:colOff>
      <xdr:row>5</xdr:row>
      <xdr:rowOff>22861</xdr:rowOff>
    </xdr:to>
    <mc:AlternateContent xmlns:mc="http://schemas.openxmlformats.org/markup-compatibility/2006" xmlns:a14="http://schemas.microsoft.com/office/drawing/2010/main">
      <mc:Choice Requires="a14">
        <xdr:graphicFrame macro="">
          <xdr:nvGraphicFramePr>
            <xdr:cNvPr id="34" name="Date (Year) 1">
              <a:extLst>
                <a:ext uri="{FF2B5EF4-FFF2-40B4-BE49-F238E27FC236}">
                  <a16:creationId xmlns:a16="http://schemas.microsoft.com/office/drawing/2014/main" id="{5067EC13-F272-42DB-A334-F573AC894C2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876800" y="175261"/>
              <a:ext cx="145161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289560</xdr:colOff>
      <xdr:row>28</xdr:row>
      <xdr:rowOff>30480</xdr:rowOff>
    </xdr:to>
    <xdr:graphicFrame macro="">
      <xdr:nvGraphicFramePr>
        <xdr:cNvPr id="2" name="Chart 1">
          <a:extLst>
            <a:ext uri="{FF2B5EF4-FFF2-40B4-BE49-F238E27FC236}">
              <a16:creationId xmlns:a16="http://schemas.microsoft.com/office/drawing/2014/main" id="{151834EA-34F3-4A27-B25F-2FC3FDD22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0.01441</cdr:x>
      <cdr:y>0.01803</cdr:y>
    </cdr:from>
    <cdr:to>
      <cdr:x>0.0598</cdr:x>
      <cdr:y>0.12131</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FD45DC5-4B53-554C-0BD1-3139D2B6649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2400" y="83820"/>
          <a:ext cx="480060" cy="480060"/>
        </a:xfrm>
        <a:prstGeom xmlns:a="http://schemas.openxmlformats.org/drawingml/2006/main" prst="rect">
          <a:avLst/>
        </a:prstGeom>
      </cdr:spPr>
    </cdr:pic>
  </cdr:relSizeAnchor>
  <cdr:relSizeAnchor xmlns:cdr="http://schemas.openxmlformats.org/drawingml/2006/chartDrawing">
    <cdr:from>
      <cdr:x>0.01441</cdr:x>
      <cdr:y>0.01803</cdr:y>
    </cdr:from>
    <cdr:to>
      <cdr:x>0.0598</cdr:x>
      <cdr:y>0.12131</cdr:y>
    </cdr:to>
    <cdr:pic>
      <cdr:nvPicPr>
        <cdr:cNvPr id="2"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FD45DC5-4B53-554C-0BD1-3139D2B6649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2400" y="83820"/>
          <a:ext cx="480060" cy="4800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548640</xdr:colOff>
      <xdr:row>25</xdr:row>
      <xdr:rowOff>129540</xdr:rowOff>
    </xdr:to>
    <xdr:graphicFrame macro="">
      <xdr:nvGraphicFramePr>
        <xdr:cNvPr id="2" name="Chart 1">
          <a:extLst>
            <a:ext uri="{FF2B5EF4-FFF2-40B4-BE49-F238E27FC236}">
              <a16:creationId xmlns:a16="http://schemas.microsoft.com/office/drawing/2014/main" id="{4BE9BFA5-FC3E-4232-BF4C-56B2D11CB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0.01769</cdr:x>
      <cdr:y>0.03566</cdr:y>
    </cdr:from>
    <cdr:to>
      <cdr:x>0.05479</cdr:x>
      <cdr:y>0.141</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38B8041-A065-7FC5-6881-B1E6FC78182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36220" y="167640"/>
          <a:ext cx="495300" cy="4953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266700</xdr:colOff>
      <xdr:row>1</xdr:row>
      <xdr:rowOff>76200</xdr:rowOff>
    </xdr:from>
    <xdr:to>
      <xdr:col>1</xdr:col>
      <xdr:colOff>152400</xdr:colOff>
      <xdr:row>4</xdr:row>
      <xdr:rowOff>22860</xdr:rowOff>
    </xdr:to>
    <xdr:pic>
      <xdr:nvPicPr>
        <xdr:cNvPr id="4" name="Graphic 3" descr="House with solid fill">
          <a:hlinkClick xmlns:r="http://schemas.openxmlformats.org/officeDocument/2006/relationships" r:id="rId1"/>
          <a:extLst>
            <a:ext uri="{FF2B5EF4-FFF2-40B4-BE49-F238E27FC236}">
              <a16:creationId xmlns:a16="http://schemas.microsoft.com/office/drawing/2014/main" id="{2137E608-C994-9AAA-710A-36584B75FB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6700" y="259080"/>
          <a:ext cx="495300" cy="495300"/>
        </a:xfrm>
        <a:prstGeom prst="rect">
          <a:avLst/>
        </a:prstGeom>
      </xdr:spPr>
    </xdr:pic>
    <xdr:clientData/>
  </xdr:twoCellAnchor>
  <xdr:twoCellAnchor>
    <xdr:from>
      <xdr:col>0</xdr:col>
      <xdr:colOff>0</xdr:colOff>
      <xdr:row>1</xdr:row>
      <xdr:rowOff>0</xdr:rowOff>
    </xdr:from>
    <xdr:to>
      <xdr:col>25</xdr:col>
      <xdr:colOff>38100</xdr:colOff>
      <xdr:row>25</xdr:row>
      <xdr:rowOff>114300</xdr:rowOff>
    </xdr:to>
    <xdr:graphicFrame macro="">
      <xdr:nvGraphicFramePr>
        <xdr:cNvPr id="2" name="Chart 1">
          <a:extLst>
            <a:ext uri="{FF2B5EF4-FFF2-40B4-BE49-F238E27FC236}">
              <a16:creationId xmlns:a16="http://schemas.microsoft.com/office/drawing/2014/main" id="{FC5FAE78-B67B-45FE-AEFA-487478EAA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78472225" backgroundQuery="1" createdVersion="8" refreshedVersion="8" minRefreshableVersion="3" recordCount="0" supportSubquery="1" supportAdvancedDrill="1" xr:uid="{47A0462A-DB94-42EB-B8A9-1D3B8B220280}">
  <cacheSource type="external" connectionId="3"/>
  <cacheFields count="4">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2"/>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78935187" backgroundQuery="1" createdVersion="8" refreshedVersion="8" minRefreshableVersion="3" recordCount="0" supportSubquery="1" supportAdvancedDrill="1" xr:uid="{96E4F965-A845-4706-A9BF-3DF9D067FB50}">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79050926" backgroundQuery="1" createdVersion="8" refreshedVersion="8" minRefreshableVersion="3" recordCount="0" supportSubquery="1" supportAdvancedDrill="1" xr:uid="{6A5A349B-7A96-4E1B-9F0B-157CF1BAD086}">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79513888" backgroundQuery="1" createdVersion="8" refreshedVersion="8" minRefreshableVersion="3" recordCount="0" supportSubquery="1" supportAdvancedDrill="1" xr:uid="{D2D24221-29A0-4B4E-8370-1ABBCDFE4D1C}">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0092596" backgroundQuery="1" createdVersion="8" refreshedVersion="8" minRefreshableVersion="3" recordCount="0" supportSubquery="1" supportAdvancedDrill="1" xr:uid="{7BF88AB2-C2E4-4006-BB2D-308392090D76}">
  <cacheSource type="external" connectionId="3"/>
  <cacheFields count="4">
    <cacheField name="[Calender Table].[Date (Month)].[Date (Month)]" caption="Date (Month)" numFmtId="0" hierarchy="1" level="1">
      <sharedItems count="1">
        <s v="Nov"/>
      </sharedItems>
    </cacheField>
    <cacheField name="[Calender 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er Table].[Date (Quarter)].[Date (Quarter)]" caption="Date (Quarter)" numFmtId="0" hierarchy="4" level="1">
      <sharedItems count="1">
        <s v="Qtr4"/>
      </sharedItems>
    </cacheField>
    <cacheField name="[Calender Table].[Date (Year)].[Date (Year)]" caption="Date (Year)" numFmtId="0" hierarchy="3" level="1">
      <sharedItems count="1">
        <s v="2024"/>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0439812" backgroundQuery="1" createdVersion="8" refreshedVersion="8" minRefreshableVersion="3" recordCount="0" supportSubquery="1" supportAdvancedDrill="1" xr:uid="{4BD0B607-F929-44E3-83F0-41E079359BBB}">
  <cacheSource type="external" connectionId="3"/>
  <cacheFields count="4">
    <cacheField name="[Calende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Measures].[Count of Patient Id]" caption="Count of Patient Id" numFmtId="0" hierarchy="23"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0555557" backgroundQuery="1" createdVersion="8" refreshedVersion="8" minRefreshableVersion="3" recordCount="0" supportSubquery="1" supportAdvancedDrill="1" xr:uid="{241434AE-5B61-4C88-A5A5-F29CEDFCDB2E}">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0902781" backgroundQuery="1" createdVersion="8" refreshedVersion="8" minRefreshableVersion="3" recordCount="0" supportSubquery="1" supportAdvancedDrill="1" xr:uid="{7AACC381-1E60-4AC3-9D69-E891A94A3483}">
  <cacheSource type="external" connectionId="3"/>
  <cacheFields count="4">
    <cacheField name="[Calende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1365743" backgroundQuery="1" createdVersion="8" refreshedVersion="8" minRefreshableVersion="3" recordCount="0" supportSubquery="1" supportAdvancedDrill="1" xr:uid="{96AB1F65-008C-4371-9DE6-A2FD88672847}">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1712966" backgroundQuery="1" createdVersion="8" refreshedVersion="8" minRefreshableVersion="3" recordCount="0" supportSubquery="1" supportAdvancedDrill="1" xr:uid="{10287322-258B-45B1-81FD-C98127DC5748}">
  <cacheSource type="external" connectionId="3"/>
  <cacheFields count="4">
    <cacheField name="[Calender Table].[Date (Day)].[Date (Day)]" caption="Date (Day)" numFmtId="0" hierarchy="2" level="1">
      <sharedItems count="33">
        <s v="1-Mar"/>
        <s v="2-Mar"/>
        <s v="3-Mar"/>
        <s v="4-Mar"/>
        <s v="5-Mar"/>
        <s v="6-Mar"/>
        <s v="7-Mar"/>
        <s v="8-Mar"/>
        <s v="9-Mar"/>
        <s v="10-Mar"/>
        <s v="11-Mar"/>
        <s v="12-Mar"/>
        <s v="13-Mar"/>
        <s v="14-Mar"/>
        <s v="15-Mar"/>
        <s v="16-Mar"/>
        <s v="17-Mar"/>
        <s v="18-Mar"/>
        <s v="19-Mar"/>
        <s v="20-Mar"/>
        <s v="21-Mar"/>
        <s v="22-Mar"/>
        <s v="23-Mar"/>
        <s v="24-Mar"/>
        <s v="25-Mar"/>
        <s v="26-Mar"/>
        <s v="27-Mar"/>
        <s v="28-Mar"/>
        <s v="29-Mar"/>
        <s v="30-Mar"/>
        <s v="31-Mar"/>
        <s v="16-Apr" u="1"/>
        <s v="18-Apr" u="1"/>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2060182" backgroundQuery="1" createdVersion="8" refreshedVersion="8" minRefreshableVersion="3" recordCount="0" supportSubquery="1" supportAdvancedDrill="1" xr:uid="{A495A680-9093-4908-A350-81841AFC676A}">
  <cacheSource type="external" connectionId="3"/>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2175928" backgroundQuery="1" createdVersion="8" refreshedVersion="8" minRefreshableVersion="3" recordCount="0" supportSubquery="1" supportAdvancedDrill="1" xr:uid="{1CC70A59-58FB-463A-B584-E67050591842}">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2523151" backgroundQuery="1" createdVersion="8" refreshedVersion="8" minRefreshableVersion="3" recordCount="0" supportSubquery="1" supportAdvancedDrill="1" xr:uid="{9555C6F1-3A45-4490-B9B5-80A5CC30F536}">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45382986113" backgroundQuery="1" createdVersion="8" refreshedVersion="8" minRefreshableVersion="3" recordCount="0" supportSubquery="1" supportAdvancedDrill="1" xr:uid="{698AB63B-0D99-421B-A7BA-1269DBD25BDD}">
  <cacheSource type="external" connectionId="3"/>
  <cacheFields count="4">
    <cacheField name="[Calender Table].[Date (Month)].[Date (Month)]" caption="Date (Month)" numFmtId="0" hierarchy="1" level="1">
      <sharedItems count="1">
        <s v="Mar"/>
      </sharedItems>
    </cacheField>
    <cacheField name="[Calender Table].[Date (Year)].[Date (Year)]" caption="Date (Year)" numFmtId="0" hierarchy="3" level="1">
      <sharedItems count="1">
        <s v="2024"/>
      </sharedItems>
    </cacheField>
    <cacheField name="[Calender Table].[Date].[Date]" caption="Date" numFmtId="0" level="1">
      <sharedItems containsSemiMixedTypes="0" containsNonDate="0" containsDate="1" containsString="0" minDate="2024-03-01T00:00:00" maxDate="2024-04-01T00:00:00" count="3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 Table].[Date (Quarter)].[Date (Quarter)]" caption="Date (Quarter)" numFmtId="0" hierarchy="4" level="1">
      <sharedItems count="1">
        <s v="Qtr1"/>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2"/>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 refreshedDate="46154.63473287037" backgroundQuery="1" createdVersion="3" refreshedVersion="8" minRefreshableVersion="3" recordCount="0" supportSubquery="1" supportAdvancedDrill="1" xr:uid="{3DB74AB6-FBE3-41DE-B11B-CFAFB6861A2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248852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185DC-E95B-4F3D-84EE-D83E4B0D344E}" name="PivotTable4" cacheId="80" applyNumberFormats="0" applyBorderFormats="0" applyFontFormats="0" applyPatternFormats="0" applyAlignmentFormats="0" applyWidthHeightFormats="1" dataCaption="Values" tag="68fdc3da-df00-40a4-a814-4e9d000a632c" updatedVersion="8" minRefreshableVersion="3" subtotalHiddenItems="1" itemPrintTitles="1" createdVersion="8" indent="0" outline="1" outlineData="1" multipleFieldFilters="0" chartFormat="42">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0">
      <pivotArea outline="0" collapsedLevelsAreSubtotals="1" fieldPosition="0"/>
    </format>
  </formats>
  <chartFormats count="7">
    <chartFormat chart="24"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9CE47-A824-4C7C-A42B-8711DEFAFED9}" name="PivotTable11" cacheId="68" applyNumberFormats="0" applyBorderFormats="0" applyFontFormats="0" applyPatternFormats="0" applyAlignmentFormats="0" applyWidthHeightFormats="1" dataCaption="Values" tag="bf999f46-63c2-4673-b2a6-53e86128644c" updatedVersion="8" minRefreshableVersion="3" subtotalHiddenItems="1" itemPrintTitles="1" createdVersion="8" indent="0" outline="1" outlineData="1" multipleFieldFilters="0" chartFormat="27">
  <location ref="A77:B86"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6"/>
    </i>
    <i>
      <x v="1"/>
    </i>
    <i>
      <x v="3"/>
    </i>
    <i>
      <x v="7"/>
    </i>
    <i t="grand">
      <x/>
    </i>
  </rowItems>
  <colItems count="1">
    <i/>
  </colItems>
  <dataFields count="1">
    <dataField name="Count of Department Referral" fld="2" subtotal="count" baseField="0" baseItem="0"/>
  </dataFields>
  <formats count="1">
    <format dxfId="31">
      <pivotArea outline="0" collapsedLevelsAreSubtotals="1" fieldPosition="0"/>
    </format>
  </formats>
  <chartFormats count="5">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31455A-3026-4163-B5E6-6E0316E6AF6F}" name="PivotTable1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9:I7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1" subtotal="count" baseField="0" baseItem="0"/>
  </dataField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90196D-3259-4E8D-8CD0-2E90B6E58548}" name="PivotTable7" cacheId="89" applyNumberFormats="0" applyBorderFormats="0" applyFontFormats="0" applyPatternFormats="0" applyAlignmentFormats="0" applyWidthHeightFormats="1" dataCaption="Values" tag="f9337e55-3f4c-4f57-9959-6bf009a43896" updatedVersion="8" minRefreshableVersion="3" subtotalHiddenItems="1" itemPrintTitles="1" createdVersion="8" indent="0" outline="1" outlineData="1" multipleFieldFilters="0" chartFormat="1">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showDataAs="percentOfTotal" baseField="0" baseItem="0" numFmtId="10"/>
    <dataField name="Count of Patient Admission Flag2" fld="4" subtotal="count" baseField="0" baseItem="0">
      <extLst>
        <ext xmlns:x14="http://schemas.microsoft.com/office/spreadsheetml/2009/9/main" uri="{E15A36E0-9728-4e99-A89B-3F7291B0FE68}">
          <x14:dataField sourceField="1" uniqueName="[__Xl2].[Measures].[Count of Patient Admission Flag]"/>
        </ext>
      </extLst>
    </dataField>
  </dataFields>
  <formats count="4">
    <format dxfId="35">
      <pivotArea outline="0" collapsedLevelsAreSubtotals="1" fieldPosition="0"/>
    </format>
    <format dxfId="34">
      <pivotArea collapsedLevelsAreSubtotals="1" fieldPosition="0">
        <references count="1">
          <reference field="2" count="1">
            <x v="0"/>
          </reference>
        </references>
      </pivotArea>
    </format>
    <format dxfId="33">
      <pivotArea collapsedLevelsAreSubtotals="1" fieldPosition="0">
        <references count="1">
          <reference field="2" count="1">
            <x v="1"/>
          </reference>
        </references>
      </pivotArea>
    </format>
    <format dxfId="32">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0"/>
          </reference>
        </references>
      </pivotArea>
    </chartFormat>
    <chartFormat chart="0" format="3">
      <pivotArea type="data" outline="0" fieldPosition="0">
        <references count="2">
          <reference field="4294967294" count="1" selected="0">
            <x v="1"/>
          </reference>
          <reference field="2" count="1" selected="0">
            <x v="1"/>
          </reference>
        </references>
      </pivotArea>
    </chartFormat>
  </chartFormats>
  <pivotHierarchies count="35">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B91C73-3C6A-4DBB-AE4A-165393E57476}" name="PivotTable6" cacheId="86" applyNumberFormats="0" applyBorderFormats="0" applyFontFormats="0" applyPatternFormats="0" applyAlignmentFormats="0" applyWidthHeightFormats="1" dataCaption="Values" tag="2dfcb510-a1cd-4bfe-9c63-cbaef14aa09e" updatedVersion="8" minRefreshableVersion="3" subtotalHiddenItems="1" itemPrintTitles="1" createdVersion="8" indent="0" outline="1" outlineData="1" multipleFieldFilters="0" chartFormat="44">
  <location ref="K5:L37"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1">
    <format dxfId="36">
      <pivotArea outline="0" collapsedLevelsAreSubtotals="1" fieldPosition="0"/>
    </format>
  </formats>
  <chartFormats count="1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0" count="1" selected="0">
            <x v="32"/>
          </reference>
        </references>
      </pivotArea>
    </chartFormat>
    <chartFormat chart="32" format="8">
      <pivotArea type="data" outline="0" fieldPosition="0">
        <references count="2">
          <reference field="4294967294" count="1" selected="0">
            <x v="0"/>
          </reference>
          <reference field="0" count="1" selected="0">
            <x v="31"/>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82EFBE-8DCD-48A3-9815-349D5C7AAC17}" name="PivotTable9" cacheId="95" applyNumberFormats="0" applyBorderFormats="0" applyFontFormats="0" applyPatternFormats="0" applyAlignmentFormats="0" applyWidthHeightFormats="1" dataCaption="Values" tag="3b469667-5ec6-4e30-b3ed-dabe2cf814be" updatedVersion="8" minRefreshableVersion="3" subtotalHiddenItems="1" itemPrintTitles="1" createdVersion="8" indent="0" outline="1" outlineData="1" multipleFieldFilters="0" chartFormat="28">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7">
      <pivotArea outline="0" collapsedLevelsAreSubtotals="1" fieldPosition="0"/>
    </format>
  </formats>
  <chartFormats count="1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1" count="1" selected="0">
            <x v="0"/>
          </reference>
        </references>
      </pivotArea>
    </chartFormat>
    <chartFormat chart="20" format="3">
      <pivotArea type="data" outline="0" fieldPosition="0">
        <references count="2">
          <reference field="4294967294" count="1" selected="0">
            <x v="0"/>
          </reference>
          <reference field="1"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66D2D0-2AD5-45A7-A6AB-86E92985F1BB}" name="PivotTable14" cacheId="98" applyNumberFormats="0" applyBorderFormats="0" applyFontFormats="0" applyPatternFormats="0" applyAlignmentFormats="0" applyWidthHeightFormats="1" dataCaption="Values" tag="5d2b49cb-b8d5-4618-9df9-dfc751a82afb" updatedVersion="8" minRefreshableVersion="3" subtotalHiddenItems="1" itemPrintTitles="1" createdVersion="8" indent="0" outline="1" outlineData="1" multipleFieldFilters="0" chartFormat="27">
  <location ref="E64:E68"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s>
  <rowFields count="4">
    <field x="1"/>
    <field x="3"/>
    <field x="0"/>
    <field x="2"/>
  </rowFields>
  <rowItems count="4">
    <i>
      <x/>
    </i>
    <i r="1">
      <x/>
    </i>
    <i r="2">
      <x/>
    </i>
    <i t="grand">
      <x/>
    </i>
  </rowItems>
  <formats count="1">
    <format dxfId="38">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165CE4-59FD-4172-86E1-943EA89D1117}" name="PivotTable8" cacheId="92" applyNumberFormats="0" applyBorderFormats="0" applyFontFormats="0" applyPatternFormats="0" applyAlignmentFormats="0" applyWidthHeightFormats="1" dataCaption="Values" tag="7fa8d9ba-d025-499c-a7a6-d42a81b8d800" updatedVersion="8" minRefreshableVersion="3"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9">
      <pivotArea outline="0" collapsedLevelsAreSubtotals="1" fieldPosition="0"/>
    </format>
  </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B765BB-03E8-4615-B2F8-47F8F53E5872}" name="PivotTable2" cacheId="59" applyNumberFormats="0" applyBorderFormats="0" applyFontFormats="0" applyPatternFormats="0" applyAlignmentFormats="0" applyWidthHeightFormats="1" dataCaption="Values" tag="b0eab688-8a8e-43b8-b548-28c074cab0ad" updatedVersion="8" minRefreshableVersion="3" subtotalHiddenItems="1" itemPrintTitles="1" createdVersion="8" indent="0" outline="1" outlineData="1" multipleFieldFilters="0" chartFormat="7">
  <location ref="D6:E3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F9CFF7-35B7-41FA-80B3-AA54B0669709}" name="PivotTable1" cacheId="62" applyNumberFormats="0" applyBorderFormats="0" applyFontFormats="0" applyPatternFormats="0" applyAlignmentFormats="0" applyWidthHeightFormats="1" dataCaption="Values" tag="fa4930ce-de85-40c3-8d0b-3a68762d354b" updatedVersion="8" minRefreshableVersion="3" subtotalHiddenItems="1" itemPrintTitles="1" createdVersion="8" indent="0" outline="1" outlineData="1" multipleFieldFilters="0" chartFormat="12">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41">
      <pivotArea collapsedLevelsAreSubtotals="1" fieldPosition="0">
        <references count="1">
          <reference field="1" count="1">
            <x v="1"/>
          </reference>
        </references>
      </pivotArea>
    </format>
    <format dxfId="40">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96DD12-D740-41F3-BFBC-E6D8199FB087}" name="PivotTable5" cacheId="83" applyNumberFormats="0" applyBorderFormats="0" applyFontFormats="0" applyPatternFormats="0" applyAlignmentFormats="0" applyWidthHeightFormats="1" dataCaption="Values" tag="5d2b49cb-b8d5-4618-9df9-dfc751a82afb" updatedVersion="8" minRefreshableVersion="3" subtotalHiddenItems="1" itemPrintTitles="1" createdVersion="8" indent="0" outline="1" outlineData="1" multipleFieldFilters="0" chartFormat="27">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42">
      <pivotArea outline="0" collapsedLevelsAreSubtotals="1" fieldPosition="0"/>
    </format>
  </formats>
  <chartFormats count="1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21"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3477DB-EF6F-4A86-9734-355429987B9D}" name="PivotTable10" cacheId="65" applyNumberFormats="0" applyBorderFormats="0" applyFontFormats="0" applyPatternFormats="0" applyAlignmentFormats="0" applyWidthHeightFormats="1" dataCaption="Values" tag="ff20a24b-ee3c-4763-bb3a-48d43d25cfc7" updatedVersion="8" minRefreshableVersion="3" subtotalHiddenItems="1" itemPrintTitles="1" createdVersion="8"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3">
      <pivotArea outline="0" collapsedLevelsAreSubtotals="1" fieldPosition="0"/>
    </format>
  </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894593-8B35-4678-943A-AAB11636C17D}" name="PivotTable12" cacheId="71" applyNumberFormats="0" applyBorderFormats="0" applyFontFormats="0" applyPatternFormats="0" applyAlignmentFormats="0" applyWidthHeightFormats="1" dataCaption="Values" tag="231c079a-44c5-4816-a552-7f2e2ad8e1bc" updatedVersion="8" minRefreshableVersion="3" subtotalHiddenItems="1" itemPrintTitles="1" createdVersion="8" indent="0" outline="1" outlineData="1" multipleFieldFilters="0" chartFormat="23">
  <location ref="A89:A9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4">
      <pivotArea outline="0" collapsedLevelsAreSubtotals="1" fieldPosition="0"/>
    </format>
  </format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B472A8-356F-4935-868F-11D2E3A16305}" name="PivotTable3" cacheId="77" applyNumberFormats="0" applyBorderFormats="0" applyFontFormats="0" applyPatternFormats="0" applyAlignmentFormats="0" applyWidthHeightFormats="1" dataCaption="Values" tag="b0eab688-8a8e-43b8-b548-28c074cab0ad" updatedVersion="8" minRefreshableVersion="3"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Ma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4A10378-0671-4C52-B5DA-3B454E2DF879}" sourceName="[Calender Table].[Date (Month)]">
  <pivotTables>
    <pivotTable tabId="1" name="PivotTable2"/>
    <pivotTable tabId="1" name="PivotTable1"/>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 tabId="1" name="PivotTable14"/>
  </pivotTables>
  <data>
    <olap pivotCacheId="424885266">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CAF8258-3CA5-4D7F-A938-4BE49DB7F840}" sourceName="[Calender 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424885266">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94FB385-0A12-4273-A7A7-3930D272889E}" cache="Slicer_Date__Month" caption="Date (Month)" level="1" rowHeight="234950"/>
  <slicer name="Date (Year)" xr10:uid="{0A6CE4AF-A0BC-43E5-80ED-3CD6986A1FEA}" cache="Slicer_Date__Year" caption="Date (Year)"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0E8B2D2-76EB-4110-AB01-2B0E099D2976}" cache="Slicer_Date__Month" caption="Date (Month)" showCaption="0" level="1" rowHeight="265176"/>
  <slicer name="Date (Year) 1" xr10:uid="{DA6CD237-AFFC-4358-9E71-2C737A59CFD5}" cache="Slicer_Date__Year" caption="Date (Year)" showCaption="0" level="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90BD9-7D90-4E0C-BBC3-E12A3C9DB20C}">
  <sheetPr codeName="Sheet1"/>
  <dimension ref="A2:L91"/>
  <sheetViews>
    <sheetView topLeftCell="A48" zoomScale="88" workbookViewId="0">
      <selection activeCell="E64" sqref="E64"/>
    </sheetView>
  </sheetViews>
  <sheetFormatPr defaultRowHeight="14.4" x14ac:dyDescent="0.3"/>
  <cols>
    <col min="1" max="1" width="13.88671875" customWidth="1"/>
    <col min="4" max="4" width="24.6640625" customWidth="1"/>
    <col min="5" max="5" width="15.6640625" customWidth="1"/>
    <col min="6" max="6" width="22.88671875" customWidth="1"/>
    <col min="7" max="8" width="13" bestFit="1" customWidth="1"/>
    <col min="9" max="9" width="17.5546875" bestFit="1" customWidth="1"/>
    <col min="10" max="10" width="14" customWidth="1"/>
    <col min="11" max="11" width="15.5546875" bestFit="1" customWidth="1"/>
    <col min="12" max="12" width="33.5546875" bestFit="1" customWidth="1"/>
  </cols>
  <sheetData>
    <row r="2" spans="1:12" x14ac:dyDescent="0.3">
      <c r="A2" t="s">
        <v>1</v>
      </c>
    </row>
    <row r="3" spans="1:12" x14ac:dyDescent="0.3">
      <c r="A3" t="s">
        <v>0</v>
      </c>
      <c r="G3" t="s">
        <v>6</v>
      </c>
    </row>
    <row r="4" spans="1:12" x14ac:dyDescent="0.3">
      <c r="A4" s="14">
        <v>506</v>
      </c>
      <c r="G4" s="3" t="s">
        <v>5</v>
      </c>
      <c r="H4" t="s">
        <v>2</v>
      </c>
      <c r="K4" t="s">
        <v>7</v>
      </c>
    </row>
    <row r="5" spans="1:12" x14ac:dyDescent="0.3">
      <c r="D5" t="s">
        <v>45</v>
      </c>
      <c r="G5" s="4" t="s">
        <v>47</v>
      </c>
      <c r="H5" s="1">
        <v>34.526315789473685</v>
      </c>
      <c r="K5" s="3" t="s">
        <v>5</v>
      </c>
      <c r="L5" t="s">
        <v>3</v>
      </c>
    </row>
    <row r="6" spans="1:12" x14ac:dyDescent="0.3">
      <c r="D6" s="3" t="s">
        <v>5</v>
      </c>
      <c r="E6" t="s">
        <v>0</v>
      </c>
      <c r="G6" s="4" t="s">
        <v>48</v>
      </c>
      <c r="H6" s="1">
        <v>33.708333333333336</v>
      </c>
      <c r="K6" s="4" t="s">
        <v>47</v>
      </c>
      <c r="L6" s="1">
        <v>7.2</v>
      </c>
    </row>
    <row r="7" spans="1:12" x14ac:dyDescent="0.3">
      <c r="D7" s="4" t="s">
        <v>47</v>
      </c>
      <c r="E7" s="14">
        <v>19</v>
      </c>
      <c r="G7" s="4" t="s">
        <v>49</v>
      </c>
      <c r="H7" s="1">
        <v>36.291666666666664</v>
      </c>
      <c r="K7" s="4" t="s">
        <v>48</v>
      </c>
      <c r="L7" s="1">
        <v>6</v>
      </c>
    </row>
    <row r="8" spans="1:12" x14ac:dyDescent="0.3">
      <c r="D8" s="4" t="s">
        <v>48</v>
      </c>
      <c r="E8" s="14">
        <v>24</v>
      </c>
      <c r="G8" s="4" t="s">
        <v>50</v>
      </c>
      <c r="H8" s="1">
        <v>35.071428571428569</v>
      </c>
      <c r="K8" s="4" t="s">
        <v>49</v>
      </c>
      <c r="L8" s="1">
        <v>1.5</v>
      </c>
    </row>
    <row r="9" spans="1:12" x14ac:dyDescent="0.3">
      <c r="D9" s="4" t="s">
        <v>49</v>
      </c>
      <c r="E9" s="14">
        <v>24</v>
      </c>
      <c r="G9" s="4" t="s">
        <v>51</v>
      </c>
      <c r="H9" s="1">
        <v>31.571428571428573</v>
      </c>
      <c r="K9" s="4" t="s">
        <v>50</v>
      </c>
      <c r="L9" s="1">
        <v>2.75</v>
      </c>
    </row>
    <row r="10" spans="1:12" x14ac:dyDescent="0.3">
      <c r="A10" t="s">
        <v>2</v>
      </c>
      <c r="D10" s="4" t="s">
        <v>50</v>
      </c>
      <c r="E10" s="14">
        <v>14</v>
      </c>
      <c r="G10" s="4" t="s">
        <v>52</v>
      </c>
      <c r="H10" s="1">
        <v>31.8125</v>
      </c>
      <c r="K10" s="4" t="s">
        <v>51</v>
      </c>
      <c r="L10" s="1">
        <v>5</v>
      </c>
    </row>
    <row r="11" spans="1:12" x14ac:dyDescent="0.3">
      <c r="A11" s="1">
        <v>35.879446640316203</v>
      </c>
      <c r="D11" s="4" t="s">
        <v>51</v>
      </c>
      <c r="E11" s="14">
        <v>14</v>
      </c>
      <c r="G11" s="4" t="s">
        <v>53</v>
      </c>
      <c r="H11" s="1">
        <v>36.846153846153847</v>
      </c>
      <c r="K11" s="4" t="s">
        <v>52</v>
      </c>
      <c r="L11" s="1">
        <v>5.5</v>
      </c>
    </row>
    <row r="12" spans="1:12" x14ac:dyDescent="0.3">
      <c r="D12" s="4" t="s">
        <v>52</v>
      </c>
      <c r="E12" s="14">
        <v>16</v>
      </c>
      <c r="G12" s="4" t="s">
        <v>54</v>
      </c>
      <c r="H12" s="1">
        <v>34.071428571428569</v>
      </c>
      <c r="K12" s="4" t="s">
        <v>53</v>
      </c>
      <c r="L12" s="1">
        <v>5.0909090909090908</v>
      </c>
    </row>
    <row r="13" spans="1:12" x14ac:dyDescent="0.3">
      <c r="D13" s="4" t="s">
        <v>53</v>
      </c>
      <c r="E13" s="14">
        <v>26</v>
      </c>
      <c r="G13" s="4" t="s">
        <v>55</v>
      </c>
      <c r="H13" s="1">
        <v>33</v>
      </c>
      <c r="K13" s="4" t="s">
        <v>54</v>
      </c>
      <c r="L13" s="1">
        <v>7.666666666666667</v>
      </c>
    </row>
    <row r="14" spans="1:12" x14ac:dyDescent="0.3">
      <c r="D14" s="4" t="s">
        <v>54</v>
      </c>
      <c r="E14" s="14">
        <v>14</v>
      </c>
      <c r="G14" s="4" t="s">
        <v>56</v>
      </c>
      <c r="H14" s="1">
        <v>40.222222222222221</v>
      </c>
      <c r="K14" s="4" t="s">
        <v>55</v>
      </c>
      <c r="L14" s="1">
        <v>3.5</v>
      </c>
    </row>
    <row r="15" spans="1:12" x14ac:dyDescent="0.3">
      <c r="D15" s="4" t="s">
        <v>55</v>
      </c>
      <c r="E15" s="14">
        <v>22</v>
      </c>
      <c r="G15" s="4" t="s">
        <v>57</v>
      </c>
      <c r="H15" s="1">
        <v>42.05</v>
      </c>
      <c r="K15" s="4" t="s">
        <v>56</v>
      </c>
      <c r="L15" s="1">
        <v>3.6666666666666665</v>
      </c>
    </row>
    <row r="16" spans="1:12" x14ac:dyDescent="0.3">
      <c r="A16" t="s">
        <v>3</v>
      </c>
      <c r="D16" s="4" t="s">
        <v>56</v>
      </c>
      <c r="E16" s="14">
        <v>18</v>
      </c>
      <c r="G16" s="4" t="s">
        <v>58</v>
      </c>
      <c r="H16" s="1">
        <v>42.615384615384613</v>
      </c>
      <c r="K16" s="4" t="s">
        <v>57</v>
      </c>
      <c r="L16" s="1">
        <v>3.8</v>
      </c>
    </row>
    <row r="17" spans="1:12" x14ac:dyDescent="0.3">
      <c r="A17" s="1">
        <v>5.3277310924369745</v>
      </c>
      <c r="D17" s="4" t="s">
        <v>57</v>
      </c>
      <c r="E17" s="14">
        <v>20</v>
      </c>
      <c r="G17" s="4" t="s">
        <v>59</v>
      </c>
      <c r="H17" s="1">
        <v>40.46153846153846</v>
      </c>
      <c r="K17" s="4" t="s">
        <v>58</v>
      </c>
      <c r="L17" s="1">
        <v>1</v>
      </c>
    </row>
    <row r="18" spans="1:12" x14ac:dyDescent="0.3">
      <c r="D18" s="4" t="s">
        <v>58</v>
      </c>
      <c r="E18" s="14">
        <v>13</v>
      </c>
      <c r="G18" s="4" t="s">
        <v>60</v>
      </c>
      <c r="H18" s="1">
        <v>34.071428571428569</v>
      </c>
      <c r="K18" s="4" t="s">
        <v>59</v>
      </c>
      <c r="L18" s="1">
        <v>7</v>
      </c>
    </row>
    <row r="19" spans="1:12" x14ac:dyDescent="0.3">
      <c r="D19" s="4" t="s">
        <v>59</v>
      </c>
      <c r="E19" s="14">
        <v>13</v>
      </c>
      <c r="G19" s="4" t="s">
        <v>61</v>
      </c>
      <c r="H19" s="1">
        <v>33.92307692307692</v>
      </c>
      <c r="K19" s="4" t="s">
        <v>60</v>
      </c>
      <c r="L19" s="1">
        <v>5</v>
      </c>
    </row>
    <row r="20" spans="1:12" x14ac:dyDescent="0.3">
      <c r="D20" s="4" t="s">
        <v>60</v>
      </c>
      <c r="E20" s="14">
        <v>14</v>
      </c>
      <c r="G20" s="4" t="s">
        <v>62</v>
      </c>
      <c r="H20" s="1">
        <v>43.166666666666664</v>
      </c>
      <c r="K20" s="4" t="s">
        <v>61</v>
      </c>
      <c r="L20" s="1">
        <v>4.25</v>
      </c>
    </row>
    <row r="21" spans="1:12" x14ac:dyDescent="0.3">
      <c r="D21" s="4" t="s">
        <v>61</v>
      </c>
      <c r="E21" s="14">
        <v>13</v>
      </c>
      <c r="G21" s="4" t="s">
        <v>63</v>
      </c>
      <c r="H21" s="1">
        <v>42.25</v>
      </c>
      <c r="K21" s="4" t="s">
        <v>62</v>
      </c>
      <c r="L21" s="1">
        <v>4</v>
      </c>
    </row>
    <row r="22" spans="1:12" x14ac:dyDescent="0.3">
      <c r="A22" s="2"/>
      <c r="D22" s="4" t="s">
        <v>62</v>
      </c>
      <c r="E22" s="14">
        <v>18</v>
      </c>
      <c r="G22" s="4" t="s">
        <v>64</v>
      </c>
      <c r="H22" s="1">
        <v>44.090909090909093</v>
      </c>
      <c r="K22" s="4" t="s">
        <v>63</v>
      </c>
      <c r="L22" s="1">
        <v>7.333333333333333</v>
      </c>
    </row>
    <row r="23" spans="1:12" x14ac:dyDescent="0.3">
      <c r="A23" s="1"/>
      <c r="D23" s="4" t="s">
        <v>63</v>
      </c>
      <c r="E23" s="14">
        <v>12</v>
      </c>
      <c r="G23" s="4" t="s">
        <v>65</v>
      </c>
      <c r="H23" s="1">
        <v>39</v>
      </c>
      <c r="K23" s="4" t="s">
        <v>64</v>
      </c>
      <c r="L23" s="1">
        <v>9</v>
      </c>
    </row>
    <row r="24" spans="1:12" x14ac:dyDescent="0.3">
      <c r="D24" s="4" t="s">
        <v>64</v>
      </c>
      <c r="E24" s="14">
        <v>11</v>
      </c>
      <c r="G24" s="4" t="s">
        <v>66</v>
      </c>
      <c r="H24" s="1">
        <v>31.25</v>
      </c>
      <c r="K24" s="4" t="s">
        <v>65</v>
      </c>
      <c r="L24" s="1">
        <v>5.25</v>
      </c>
    </row>
    <row r="25" spans="1:12" x14ac:dyDescent="0.3">
      <c r="D25" s="4" t="s">
        <v>65</v>
      </c>
      <c r="E25" s="14">
        <v>14</v>
      </c>
      <c r="G25" s="4" t="s">
        <v>67</v>
      </c>
      <c r="H25" s="1">
        <v>28.5</v>
      </c>
      <c r="K25" s="4" t="s">
        <v>66</v>
      </c>
      <c r="L25" s="1">
        <v>6.6</v>
      </c>
    </row>
    <row r="26" spans="1:12" x14ac:dyDescent="0.3">
      <c r="D26" s="4" t="s">
        <v>66</v>
      </c>
      <c r="E26" s="14">
        <v>12</v>
      </c>
      <c r="G26" s="4" t="s">
        <v>68</v>
      </c>
      <c r="H26" s="1">
        <v>34.0625</v>
      </c>
      <c r="K26" s="4" t="s">
        <v>67</v>
      </c>
      <c r="L26" s="1">
        <v>6.25</v>
      </c>
    </row>
    <row r="27" spans="1:12" x14ac:dyDescent="0.3">
      <c r="D27" s="4" t="s">
        <v>67</v>
      </c>
      <c r="E27" s="14">
        <v>16</v>
      </c>
      <c r="G27" s="4" t="s">
        <v>69</v>
      </c>
      <c r="H27" s="1">
        <v>25.2</v>
      </c>
      <c r="K27" s="4" t="s">
        <v>68</v>
      </c>
      <c r="L27" s="1">
        <v>6.333333333333333</v>
      </c>
    </row>
    <row r="28" spans="1:12" x14ac:dyDescent="0.3">
      <c r="D28" s="4" t="s">
        <v>68</v>
      </c>
      <c r="E28" s="14">
        <v>16</v>
      </c>
      <c r="G28" s="4" t="s">
        <v>70</v>
      </c>
      <c r="H28" s="1">
        <v>35.863636363636367</v>
      </c>
      <c r="K28" s="4" t="s">
        <v>69</v>
      </c>
      <c r="L28" s="1">
        <v>7</v>
      </c>
    </row>
    <row r="29" spans="1:12" x14ac:dyDescent="0.3">
      <c r="D29" s="4" t="s">
        <v>69</v>
      </c>
      <c r="E29" s="14">
        <v>15</v>
      </c>
      <c r="G29" s="4" t="s">
        <v>71</v>
      </c>
      <c r="H29" s="1">
        <v>39.833333333333336</v>
      </c>
      <c r="K29" s="4" t="s">
        <v>70</v>
      </c>
      <c r="L29" s="1">
        <v>5.666666666666667</v>
      </c>
    </row>
    <row r="30" spans="1:12" x14ac:dyDescent="0.3">
      <c r="D30" s="4" t="s">
        <v>70</v>
      </c>
      <c r="E30" s="14">
        <v>22</v>
      </c>
      <c r="G30" s="4" t="s">
        <v>72</v>
      </c>
      <c r="H30" s="1">
        <v>37</v>
      </c>
      <c r="K30" s="4" t="s">
        <v>71</v>
      </c>
      <c r="L30" s="1">
        <v>3.3333333333333335</v>
      </c>
    </row>
    <row r="31" spans="1:12" x14ac:dyDescent="0.3">
      <c r="D31" s="4" t="s">
        <v>71</v>
      </c>
      <c r="E31" s="14">
        <v>18</v>
      </c>
      <c r="G31" s="4" t="s">
        <v>73</v>
      </c>
      <c r="H31" s="1">
        <v>39.411764705882355</v>
      </c>
      <c r="K31" s="4" t="s">
        <v>72</v>
      </c>
      <c r="L31" s="1">
        <v>4.75</v>
      </c>
    </row>
    <row r="32" spans="1:12" x14ac:dyDescent="0.3">
      <c r="D32" s="4" t="s">
        <v>72</v>
      </c>
      <c r="E32" s="14">
        <v>10</v>
      </c>
      <c r="G32" s="4" t="s">
        <v>74</v>
      </c>
      <c r="H32" s="1">
        <v>30.294117647058822</v>
      </c>
      <c r="K32" s="4" t="s">
        <v>73</v>
      </c>
      <c r="L32" s="1">
        <v>2</v>
      </c>
    </row>
    <row r="33" spans="1:12" x14ac:dyDescent="0.3">
      <c r="D33" s="4" t="s">
        <v>73</v>
      </c>
      <c r="E33" s="14">
        <v>17</v>
      </c>
      <c r="G33" s="4" t="s">
        <v>75</v>
      </c>
      <c r="H33" s="1">
        <v>32.666666666666664</v>
      </c>
      <c r="K33" s="4" t="s">
        <v>74</v>
      </c>
      <c r="L33" s="1">
        <v>9.25</v>
      </c>
    </row>
    <row r="34" spans="1:12" x14ac:dyDescent="0.3">
      <c r="D34" s="4" t="s">
        <v>74</v>
      </c>
      <c r="E34" s="14">
        <v>17</v>
      </c>
      <c r="G34" s="4" t="s">
        <v>76</v>
      </c>
      <c r="H34" s="1">
        <v>30.571428571428573</v>
      </c>
      <c r="K34" s="4" t="s">
        <v>75</v>
      </c>
      <c r="L34" s="1">
        <v>2.6666666666666665</v>
      </c>
    </row>
    <row r="35" spans="1:12" x14ac:dyDescent="0.3">
      <c r="D35" s="4" t="s">
        <v>75</v>
      </c>
      <c r="E35" s="14">
        <v>12</v>
      </c>
      <c r="G35" s="4" t="s">
        <v>77</v>
      </c>
      <c r="H35" s="1">
        <v>39.055555555555557</v>
      </c>
      <c r="K35" s="4" t="s">
        <v>76</v>
      </c>
      <c r="L35" s="1">
        <v>4</v>
      </c>
    </row>
    <row r="36" spans="1:12" x14ac:dyDescent="0.3">
      <c r="D36" s="4" t="s">
        <v>76</v>
      </c>
      <c r="E36" s="14">
        <v>14</v>
      </c>
      <c r="G36" s="4" t="s">
        <v>4</v>
      </c>
      <c r="H36" s="1">
        <v>35.879446640316203</v>
      </c>
      <c r="K36" s="4" t="s">
        <v>77</v>
      </c>
      <c r="L36" s="1">
        <v>8.75</v>
      </c>
    </row>
    <row r="37" spans="1:12" x14ac:dyDescent="0.3">
      <c r="D37" s="4" t="s">
        <v>77</v>
      </c>
      <c r="E37" s="14">
        <v>18</v>
      </c>
      <c r="H37" s="4"/>
      <c r="K37" s="4" t="s">
        <v>4</v>
      </c>
      <c r="L37" s="1">
        <v>5.3277310924369745</v>
      </c>
    </row>
    <row r="38" spans="1:12" x14ac:dyDescent="0.3">
      <c r="A38" s="3" t="s">
        <v>5</v>
      </c>
      <c r="B38" t="s">
        <v>8</v>
      </c>
      <c r="C38" t="s">
        <v>11</v>
      </c>
      <c r="D38" s="4" t="s">
        <v>4</v>
      </c>
      <c r="E38" s="14">
        <v>506</v>
      </c>
      <c r="H38" s="4"/>
    </row>
    <row r="39" spans="1:12" x14ac:dyDescent="0.3">
      <c r="A39" s="4" t="s">
        <v>9</v>
      </c>
      <c r="B39" s="5">
        <v>0.5</v>
      </c>
      <c r="C39" s="6">
        <v>253</v>
      </c>
      <c r="H39" s="3" t="s">
        <v>5</v>
      </c>
      <c r="I39" t="s">
        <v>44</v>
      </c>
    </row>
    <row r="40" spans="1:12" x14ac:dyDescent="0.3">
      <c r="A40" s="4" t="s">
        <v>10</v>
      </c>
      <c r="B40" s="5">
        <v>0.5</v>
      </c>
      <c r="C40" s="6">
        <v>253</v>
      </c>
      <c r="H40" s="4" t="s">
        <v>47</v>
      </c>
      <c r="I40" s="14">
        <v>19</v>
      </c>
    </row>
    <row r="41" spans="1:12" x14ac:dyDescent="0.3">
      <c r="A41" s="4" t="s">
        <v>4</v>
      </c>
      <c r="B41" s="5">
        <v>1</v>
      </c>
      <c r="C41" s="1">
        <v>506</v>
      </c>
      <c r="H41" s="4" t="s">
        <v>48</v>
      </c>
      <c r="I41" s="14">
        <v>24</v>
      </c>
    </row>
    <row r="42" spans="1:12" x14ac:dyDescent="0.3">
      <c r="H42" s="4" t="s">
        <v>49</v>
      </c>
      <c r="I42" s="14">
        <v>24</v>
      </c>
    </row>
    <row r="43" spans="1:12" x14ac:dyDescent="0.3">
      <c r="H43" s="4" t="s">
        <v>50</v>
      </c>
      <c r="I43" s="14">
        <v>14</v>
      </c>
    </row>
    <row r="44" spans="1:12" x14ac:dyDescent="0.3">
      <c r="A44" s="7" t="s">
        <v>12</v>
      </c>
      <c r="B44" s="7" t="s">
        <v>13</v>
      </c>
      <c r="C44" s="7" t="s">
        <v>14</v>
      </c>
      <c r="H44" s="4" t="s">
        <v>51</v>
      </c>
      <c r="I44" s="14">
        <v>14</v>
      </c>
    </row>
    <row r="45" spans="1:12" x14ac:dyDescent="0.3">
      <c r="A45" s="8" t="str">
        <f>A40</f>
        <v>Not Admitted</v>
      </c>
      <c r="B45" s="9">
        <f>B39</f>
        <v>0.5</v>
      </c>
      <c r="C45" s="10">
        <f>C39</f>
        <v>253</v>
      </c>
      <c r="H45" s="4" t="s">
        <v>52</v>
      </c>
      <c r="I45" s="14">
        <v>16</v>
      </c>
    </row>
    <row r="46" spans="1:12" x14ac:dyDescent="0.3">
      <c r="A46" s="8" t="str">
        <f>A39</f>
        <v>Admitted</v>
      </c>
      <c r="B46" s="9">
        <f>B40</f>
        <v>0.5</v>
      </c>
      <c r="C46" s="10">
        <f>C40</f>
        <v>253</v>
      </c>
      <c r="H46" s="4" t="s">
        <v>53</v>
      </c>
      <c r="I46" s="14">
        <v>26</v>
      </c>
    </row>
    <row r="47" spans="1:12" x14ac:dyDescent="0.3">
      <c r="H47" s="4" t="s">
        <v>54</v>
      </c>
      <c r="I47" s="14">
        <v>14</v>
      </c>
    </row>
    <row r="48" spans="1:12" x14ac:dyDescent="0.3">
      <c r="H48" s="4" t="s">
        <v>55</v>
      </c>
      <c r="I48" s="14">
        <v>22</v>
      </c>
    </row>
    <row r="49" spans="1:9" x14ac:dyDescent="0.3">
      <c r="A49" t="s">
        <v>24</v>
      </c>
      <c r="H49" s="4" t="s">
        <v>56</v>
      </c>
      <c r="I49" s="14">
        <v>18</v>
      </c>
    </row>
    <row r="50" spans="1:9" x14ac:dyDescent="0.3">
      <c r="A50" s="3" t="s">
        <v>5</v>
      </c>
      <c r="B50" t="s">
        <v>23</v>
      </c>
      <c r="H50" s="4" t="s">
        <v>57</v>
      </c>
      <c r="I50" s="14">
        <v>20</v>
      </c>
    </row>
    <row r="51" spans="1:9" x14ac:dyDescent="0.3">
      <c r="A51" s="4" t="s">
        <v>15</v>
      </c>
      <c r="B51" s="6">
        <v>64</v>
      </c>
      <c r="H51" s="4" t="s">
        <v>58</v>
      </c>
      <c r="I51" s="14">
        <v>13</v>
      </c>
    </row>
    <row r="52" spans="1:9" x14ac:dyDescent="0.3">
      <c r="A52" s="4" t="s">
        <v>16</v>
      </c>
      <c r="B52" s="6">
        <v>66</v>
      </c>
      <c r="H52" s="4" t="s">
        <v>59</v>
      </c>
      <c r="I52" s="14">
        <v>13</v>
      </c>
    </row>
    <row r="53" spans="1:9" x14ac:dyDescent="0.3">
      <c r="A53" s="4" t="s">
        <v>17</v>
      </c>
      <c r="B53" s="6">
        <v>65</v>
      </c>
      <c r="H53" s="4" t="s">
        <v>60</v>
      </c>
      <c r="I53" s="14">
        <v>14</v>
      </c>
    </row>
    <row r="54" spans="1:9" x14ac:dyDescent="0.3">
      <c r="A54" s="4" t="s">
        <v>18</v>
      </c>
      <c r="B54" s="6">
        <v>73</v>
      </c>
      <c r="H54" s="4" t="s">
        <v>61</v>
      </c>
      <c r="I54" s="14">
        <v>13</v>
      </c>
    </row>
    <row r="55" spans="1:9" x14ac:dyDescent="0.3">
      <c r="A55" s="4" t="s">
        <v>19</v>
      </c>
      <c r="B55" s="6">
        <v>45</v>
      </c>
      <c r="H55" s="4" t="s">
        <v>62</v>
      </c>
      <c r="I55" s="14">
        <v>18</v>
      </c>
    </row>
    <row r="56" spans="1:9" x14ac:dyDescent="0.3">
      <c r="A56" s="4" t="s">
        <v>20</v>
      </c>
      <c r="B56" s="6">
        <v>72</v>
      </c>
      <c r="H56" s="4" t="s">
        <v>63</v>
      </c>
      <c r="I56" s="14">
        <v>12</v>
      </c>
    </row>
    <row r="57" spans="1:9" x14ac:dyDescent="0.3">
      <c r="A57" s="4" t="s">
        <v>21</v>
      </c>
      <c r="B57" s="6">
        <v>74</v>
      </c>
      <c r="H57" s="4" t="s">
        <v>64</v>
      </c>
      <c r="I57" s="14">
        <v>11</v>
      </c>
    </row>
    <row r="58" spans="1:9" x14ac:dyDescent="0.3">
      <c r="A58" s="4" t="s">
        <v>22</v>
      </c>
      <c r="B58" s="6">
        <v>47</v>
      </c>
      <c r="H58" s="4" t="s">
        <v>65</v>
      </c>
      <c r="I58" s="14">
        <v>14</v>
      </c>
    </row>
    <row r="59" spans="1:9" x14ac:dyDescent="0.3">
      <c r="A59" s="4" t="s">
        <v>4</v>
      </c>
      <c r="B59" s="6">
        <v>506</v>
      </c>
      <c r="H59" s="4" t="s">
        <v>66</v>
      </c>
      <c r="I59" s="14">
        <v>12</v>
      </c>
    </row>
    <row r="60" spans="1:9" x14ac:dyDescent="0.3">
      <c r="H60" s="4" t="s">
        <v>67</v>
      </c>
      <c r="I60" s="14">
        <v>16</v>
      </c>
    </row>
    <row r="61" spans="1:9" x14ac:dyDescent="0.3">
      <c r="H61" s="4" t="s">
        <v>68</v>
      </c>
      <c r="I61" s="14">
        <v>16</v>
      </c>
    </row>
    <row r="62" spans="1:9" x14ac:dyDescent="0.3">
      <c r="A62" s="4" t="s">
        <v>28</v>
      </c>
      <c r="H62" s="4" t="s">
        <v>69</v>
      </c>
      <c r="I62" s="14">
        <v>15</v>
      </c>
    </row>
    <row r="63" spans="1:9" x14ac:dyDescent="0.3">
      <c r="A63" s="3" t="s">
        <v>5</v>
      </c>
      <c r="B63" t="s">
        <v>27</v>
      </c>
      <c r="H63" s="4" t="s">
        <v>70</v>
      </c>
      <c r="I63" s="14">
        <v>22</v>
      </c>
    </row>
    <row r="64" spans="1:9" x14ac:dyDescent="0.3">
      <c r="A64" s="4" t="s">
        <v>25</v>
      </c>
      <c r="B64" s="6">
        <v>312</v>
      </c>
      <c r="E64" s="3" t="s">
        <v>5</v>
      </c>
      <c r="H64" s="4" t="s">
        <v>71</v>
      </c>
      <c r="I64" s="14">
        <v>18</v>
      </c>
    </row>
    <row r="65" spans="1:9" x14ac:dyDescent="0.3">
      <c r="A65" s="4" t="s">
        <v>26</v>
      </c>
      <c r="B65" s="6">
        <v>194</v>
      </c>
      <c r="E65" s="4" t="s">
        <v>46</v>
      </c>
      <c r="H65" s="4" t="s">
        <v>72</v>
      </c>
      <c r="I65" s="14">
        <v>10</v>
      </c>
    </row>
    <row r="66" spans="1:9" x14ac:dyDescent="0.3">
      <c r="A66" s="4" t="s">
        <v>4</v>
      </c>
      <c r="B66" s="6">
        <v>506</v>
      </c>
      <c r="E66" s="12" t="s">
        <v>78</v>
      </c>
      <c r="H66" s="4" t="s">
        <v>73</v>
      </c>
      <c r="I66" s="14">
        <v>17</v>
      </c>
    </row>
    <row r="67" spans="1:9" x14ac:dyDescent="0.3">
      <c r="E67" s="13" t="s">
        <v>79</v>
      </c>
      <c r="H67" s="4" t="s">
        <v>74</v>
      </c>
      <c r="I67" s="14">
        <v>17</v>
      </c>
    </row>
    <row r="68" spans="1:9" x14ac:dyDescent="0.3">
      <c r="E68" s="4" t="s">
        <v>4</v>
      </c>
      <c r="H68" s="4" t="s">
        <v>75</v>
      </c>
      <c r="I68" s="14">
        <v>12</v>
      </c>
    </row>
    <row r="69" spans="1:9" x14ac:dyDescent="0.3">
      <c r="A69" s="4" t="s">
        <v>32</v>
      </c>
      <c r="H69" s="4" t="s">
        <v>76</v>
      </c>
      <c r="I69" s="14">
        <v>14</v>
      </c>
    </row>
    <row r="70" spans="1:9" x14ac:dyDescent="0.3">
      <c r="A70" s="3" t="s">
        <v>5</v>
      </c>
      <c r="B70" t="s">
        <v>31</v>
      </c>
      <c r="H70" s="4" t="s">
        <v>77</v>
      </c>
      <c r="I70" s="14">
        <v>18</v>
      </c>
    </row>
    <row r="71" spans="1:9" x14ac:dyDescent="0.3">
      <c r="A71" s="4" t="s">
        <v>29</v>
      </c>
      <c r="B71" s="6">
        <v>231</v>
      </c>
      <c r="H71" s="4" t="s">
        <v>4</v>
      </c>
      <c r="I71" s="14">
        <v>506</v>
      </c>
    </row>
    <row r="72" spans="1:9" x14ac:dyDescent="0.3">
      <c r="A72" s="4" t="s">
        <v>30</v>
      </c>
      <c r="B72" s="6">
        <v>275</v>
      </c>
    </row>
    <row r="73" spans="1:9" x14ac:dyDescent="0.3">
      <c r="A73" s="4" t="s">
        <v>4</v>
      </c>
      <c r="B73" s="6">
        <v>506</v>
      </c>
    </row>
    <row r="76" spans="1:9" x14ac:dyDescent="0.3">
      <c r="A76" s="4" t="s">
        <v>42</v>
      </c>
    </row>
    <row r="77" spans="1:9" x14ac:dyDescent="0.3">
      <c r="A77" s="3" t="s">
        <v>5</v>
      </c>
      <c r="B77" t="s">
        <v>41</v>
      </c>
    </row>
    <row r="78" spans="1:9" x14ac:dyDescent="0.3">
      <c r="A78" s="4" t="s">
        <v>37</v>
      </c>
      <c r="B78" s="6">
        <v>311</v>
      </c>
    </row>
    <row r="79" spans="1:9" x14ac:dyDescent="0.3">
      <c r="A79" s="4" t="s">
        <v>35</v>
      </c>
      <c r="B79" s="6">
        <v>93</v>
      </c>
    </row>
    <row r="80" spans="1:9" x14ac:dyDescent="0.3">
      <c r="A80" s="4" t="s">
        <v>38</v>
      </c>
      <c r="B80" s="6">
        <v>59</v>
      </c>
    </row>
    <row r="81" spans="1:2" x14ac:dyDescent="0.3">
      <c r="A81" s="4" t="s">
        <v>33</v>
      </c>
      <c r="B81" s="6">
        <v>15</v>
      </c>
    </row>
    <row r="82" spans="1:2" x14ac:dyDescent="0.3">
      <c r="A82" s="4" t="s">
        <v>39</v>
      </c>
      <c r="B82" s="6">
        <v>14</v>
      </c>
    </row>
    <row r="83" spans="1:2" x14ac:dyDescent="0.3">
      <c r="A83" s="4" t="s">
        <v>34</v>
      </c>
      <c r="B83" s="6">
        <v>6</v>
      </c>
    </row>
    <row r="84" spans="1:2" x14ac:dyDescent="0.3">
      <c r="A84" s="4" t="s">
        <v>36</v>
      </c>
      <c r="B84" s="6">
        <v>5</v>
      </c>
    </row>
    <row r="85" spans="1:2" x14ac:dyDescent="0.3">
      <c r="A85" s="4" t="s">
        <v>40</v>
      </c>
      <c r="B85" s="6">
        <v>3</v>
      </c>
    </row>
    <row r="86" spans="1:2" x14ac:dyDescent="0.3">
      <c r="A86" s="4" t="s">
        <v>4</v>
      </c>
      <c r="B86" s="6">
        <v>506</v>
      </c>
    </row>
    <row r="88" spans="1:2" x14ac:dyDescent="0.3">
      <c r="A88" s="4" t="s">
        <v>43</v>
      </c>
    </row>
    <row r="89" spans="1:2" x14ac:dyDescent="0.3">
      <c r="A89" s="3" t="s">
        <v>5</v>
      </c>
    </row>
    <row r="90" spans="1:2" x14ac:dyDescent="0.3">
      <c r="A90" s="4" t="s">
        <v>46</v>
      </c>
    </row>
    <row r="91" spans="1:2" x14ac:dyDescent="0.3">
      <c r="A91" s="4" t="s">
        <v>4</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FC77-E6DA-40E4-96C6-F113760FE2A5}">
  <dimension ref="A1"/>
  <sheetViews>
    <sheetView tabSelected="1" topLeftCell="A3" workbookViewId="0">
      <selection activeCell="K7" sqref="K7"/>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4FD0-2502-4F59-A382-5766086932DE}">
  <sheetPr codeName="Sheet4"/>
  <dimension ref="A1"/>
  <sheetViews>
    <sheetView workbookViewId="0">
      <selection activeCell="C41" sqref="C4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97A46-2529-4BFD-BDC4-30EE4320CEF0}">
  <sheetPr codeName="Sheet5"/>
  <dimension ref="A1"/>
  <sheetViews>
    <sheetView workbookViewId="0">
      <selection activeCell="J35" sqref="J3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71E6-FD7A-45A1-A8DB-FB1400243C57}">
  <sheetPr codeName="Sheet6"/>
  <dimension ref="A1"/>
  <sheetViews>
    <sheetView workbookViewId="0">
      <selection activeCell="N8" sqref="N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192EC1E-8150-48DF-8186-25E414ECF6A5}">
  <ds:schemaRefs/>
</ds:datastoreItem>
</file>

<file path=customXml/itemProps2.xml><?xml version="1.0" encoding="utf-8"?>
<ds:datastoreItem xmlns:ds="http://schemas.openxmlformats.org/officeDocument/2006/customXml" ds:itemID="{DE65F5A9-82C0-4137-B870-A4ABA2FD3400}">
  <ds:schemaRefs/>
</ds:datastoreItem>
</file>

<file path=customXml/itemProps3.xml><?xml version="1.0" encoding="utf-8"?>
<ds:datastoreItem xmlns:ds="http://schemas.openxmlformats.org/officeDocument/2006/customXml" ds:itemID="{A11443BE-0E2F-43D5-9631-7B3FDC960AC4}">
  <ds:schemaRefs/>
</ds:datastoreItem>
</file>

<file path=customXml/itemProps4.xml><?xml version="1.0" encoding="utf-8"?>
<ds:datastoreItem xmlns:ds="http://schemas.openxmlformats.org/officeDocument/2006/customXml" ds:itemID="{46D90C4D-F2E0-4AF9-A9E0-46B84830EF87}">
  <ds:schemaRefs/>
</ds:datastoreItem>
</file>

<file path=customXml/itemProps5.xml><?xml version="1.0" encoding="utf-8"?>
<ds:datastoreItem xmlns:ds="http://schemas.openxmlformats.org/officeDocument/2006/customXml" ds:itemID="{C3AEE0F7-914E-49B1-9519-5FE4BD9566F7}">
  <ds:schemaRefs/>
</ds:datastoreItem>
</file>

<file path=customXml/itemProps6.xml><?xml version="1.0" encoding="utf-8"?>
<ds:datastoreItem xmlns:ds="http://schemas.openxmlformats.org/officeDocument/2006/customXml" ds:itemID="{AC591B11-1211-4BFE-8D9D-4CB0EE0F0F2C}">
  <ds:schemaRefs/>
</ds:datastoreItem>
</file>

<file path=customXml/itemProps7.xml><?xml version="1.0" encoding="utf-8"?>
<ds:datastoreItem xmlns:ds="http://schemas.openxmlformats.org/officeDocument/2006/customXml" ds:itemID="{BF648423-E086-4838-A44B-D8ABB256ED12}">
  <ds:schemaRefs/>
</ds:datastoreItem>
</file>

<file path=customXml/itemProps8.xml><?xml version="1.0" encoding="utf-8"?>
<ds:datastoreItem xmlns:ds="http://schemas.openxmlformats.org/officeDocument/2006/customXml" ds:itemID="{01AAAE19-634F-40B8-8359-F92B39B6681E}">
  <ds:schemaRefs/>
</ds:datastoreItem>
</file>

<file path=customXml/itemProps9.xml><?xml version="1.0" encoding="utf-8"?>
<ds:datastoreItem xmlns:ds="http://schemas.openxmlformats.org/officeDocument/2006/customXml" ds:itemID="{E03480E8-FA8F-47A2-85AA-2EE4988CB57D}">
  <ds:schemaRefs/>
</ds:datastoreItem>
</file>

<file path=customXml/itemProps10.xml><?xml version="1.0" encoding="utf-8"?>
<ds:datastoreItem xmlns:ds="http://schemas.openxmlformats.org/officeDocument/2006/customXml" ds:itemID="{21096EF0-823D-4E42-BC67-673FEF40779E}">
  <ds:schemaRefs/>
</ds:datastoreItem>
</file>

<file path=customXml/itemProps11.xml><?xml version="1.0" encoding="utf-8"?>
<ds:datastoreItem xmlns:ds="http://schemas.openxmlformats.org/officeDocument/2006/customXml" ds:itemID="{C6B43875-D0A0-4254-8BDA-3CA0D85BB5D4}">
  <ds:schemaRefs/>
</ds:datastoreItem>
</file>

<file path=customXml/itemProps12.xml><?xml version="1.0" encoding="utf-8"?>
<ds:datastoreItem xmlns:ds="http://schemas.openxmlformats.org/officeDocument/2006/customXml" ds:itemID="{BEE2A456-EC0B-447E-9080-624E241B5E79}">
  <ds:schemaRefs/>
</ds:datastoreItem>
</file>

<file path=customXml/itemProps13.xml><?xml version="1.0" encoding="utf-8"?>
<ds:datastoreItem xmlns:ds="http://schemas.openxmlformats.org/officeDocument/2006/customXml" ds:itemID="{0D8C5EFE-E7E1-4C2D-8B23-7F894BF7C44F}">
  <ds:schemaRefs/>
</ds:datastoreItem>
</file>

<file path=customXml/itemProps14.xml><?xml version="1.0" encoding="utf-8"?>
<ds:datastoreItem xmlns:ds="http://schemas.openxmlformats.org/officeDocument/2006/customXml" ds:itemID="{FA1AFB50-E109-4970-A90A-2DED51130FAC}">
  <ds:schemaRefs>
    <ds:schemaRef ds:uri="http://schemas.microsoft.com/DataMashup"/>
  </ds:schemaRefs>
</ds:datastoreItem>
</file>

<file path=customXml/itemProps15.xml><?xml version="1.0" encoding="utf-8"?>
<ds:datastoreItem xmlns:ds="http://schemas.openxmlformats.org/officeDocument/2006/customXml" ds:itemID="{D328F40D-46A1-444C-83EC-F358D14782C9}">
  <ds:schemaRefs/>
</ds:datastoreItem>
</file>

<file path=customXml/itemProps16.xml><?xml version="1.0" encoding="utf-8"?>
<ds:datastoreItem xmlns:ds="http://schemas.openxmlformats.org/officeDocument/2006/customXml" ds:itemID="{14219AAB-77EA-4DDF-935F-3BC32B80D1BF}">
  <ds:schemaRefs/>
</ds:datastoreItem>
</file>

<file path=customXml/itemProps17.xml><?xml version="1.0" encoding="utf-8"?>
<ds:datastoreItem xmlns:ds="http://schemas.openxmlformats.org/officeDocument/2006/customXml" ds:itemID="{75088CAC-372E-4C10-99F2-3276510EF11A}">
  <ds:schemaRefs/>
</ds:datastoreItem>
</file>

<file path=customXml/itemProps18.xml><?xml version="1.0" encoding="utf-8"?>
<ds:datastoreItem xmlns:ds="http://schemas.openxmlformats.org/officeDocument/2006/customXml" ds:itemID="{602037CC-96E1-4AF2-953A-B844FFACC7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vt:lpstr>
      <vt:lpstr>AVG Waiting time daily trend</vt:lpstr>
      <vt:lpstr>Daily ER no-of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barsha dash</dc:creator>
  <cp:lastModifiedBy>barsha dash</cp:lastModifiedBy>
  <dcterms:created xsi:type="dcterms:W3CDTF">2026-05-08T09:57:51Z</dcterms:created>
  <dcterms:modified xsi:type="dcterms:W3CDTF">2026-05-12T09:59:33Z</dcterms:modified>
</cp:coreProperties>
</file>